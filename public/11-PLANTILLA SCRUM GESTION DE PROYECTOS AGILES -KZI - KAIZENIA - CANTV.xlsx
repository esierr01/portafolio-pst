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H:\UNETI\SIERRA\1-PST IV M2\02-PLANTILLAS\_PLANILLAS EN PROCESO\"/>
    </mc:Choice>
  </mc:AlternateContent>
  <bookViews>
    <workbookView xWindow="-120" yWindow="-120" windowWidth="15600" windowHeight="11160"/>
  </bookViews>
  <sheets>
    <sheet name="Caso del Negocio" sheetId="11" r:id="rId1"/>
    <sheet name="Visión" sheetId="5" r:id="rId2"/>
    <sheet name="Involucrados del proyecto" sheetId="9" r:id="rId3"/>
    <sheet name="PBI" sheetId="6" r:id="rId4"/>
    <sheet name="Release Plan" sheetId="10" r:id="rId5"/>
    <sheet name="Puntos" sheetId="7" r:id="rId6"/>
    <sheet name="Tareas" sheetId="3" r:id="rId7"/>
    <sheet name="Burn Down Chart" sheetId="4" r:id="rId8"/>
    <sheet name="Gestión de impedimentos" sheetId="8" r:id="rId9"/>
  </sheets>
  <definedNames>
    <definedName name="_xlnm._FilterDatabase" localSheetId="3" hidden="1">PBI!$A$3:$K$3</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3" i="4" l="1"/>
  <c r="B60" i="4"/>
  <c r="B37" i="4"/>
  <c r="B14" i="4" l="1"/>
  <c r="D121" i="3" l="1"/>
</calcChain>
</file>

<file path=xl/comments1.xml><?xml version="1.0" encoding="utf-8"?>
<comments xmlns="http://schemas.openxmlformats.org/spreadsheetml/2006/main">
  <authors>
    <author>Ing Diego Ochoa</author>
  </authors>
  <commentList>
    <comment ref="A2" authorId="0" shapeId="0">
      <text>
        <r>
          <rPr>
            <b/>
            <sz val="9"/>
            <color indexed="81"/>
            <rFont val="Tahoma"/>
            <family val="2"/>
          </rPr>
          <t>KzI:</t>
        </r>
        <r>
          <rPr>
            <sz val="9"/>
            <color indexed="81"/>
            <rFont val="Tahoma"/>
            <family val="2"/>
          </rPr>
          <t xml:space="preserve"> Cliente Objetivo</t>
        </r>
        <r>
          <rPr>
            <sz val="9"/>
            <color indexed="81"/>
            <rFont val="Tahoma"/>
            <family val="2"/>
          </rPr>
          <t xml:space="preserve">
</t>
        </r>
      </text>
    </comment>
    <comment ref="A3" authorId="0" shapeId="0">
      <text>
        <r>
          <rPr>
            <b/>
            <sz val="9"/>
            <color indexed="81"/>
            <rFont val="Tahoma"/>
            <family val="2"/>
          </rPr>
          <t>KzI: Oportunidad o necesidad que va atender</t>
        </r>
        <r>
          <rPr>
            <sz val="9"/>
            <color indexed="81"/>
            <rFont val="Tahoma"/>
            <family val="2"/>
          </rPr>
          <t xml:space="preserve">
</t>
        </r>
      </text>
    </comment>
    <comment ref="A4" authorId="0" shapeId="0">
      <text>
        <r>
          <rPr>
            <b/>
            <sz val="9"/>
            <color indexed="81"/>
            <rFont val="Tahoma"/>
            <family val="2"/>
          </rPr>
          <t xml:space="preserve">KzI: </t>
        </r>
        <r>
          <rPr>
            <sz val="9"/>
            <color indexed="81"/>
            <rFont val="Tahoma"/>
            <family val="2"/>
          </rPr>
          <t>Producto o servicio</t>
        </r>
      </text>
    </comment>
    <comment ref="A6" authorId="0" shapeId="0">
      <text>
        <r>
          <rPr>
            <b/>
            <sz val="9"/>
            <color indexed="81"/>
            <rFont val="Tahoma"/>
            <family val="2"/>
          </rPr>
          <t xml:space="preserve">KzI: </t>
        </r>
        <r>
          <rPr>
            <sz val="9"/>
            <color indexed="81"/>
            <rFont val="Tahoma"/>
            <family val="2"/>
          </rPr>
          <t xml:space="preserve">
</t>
        </r>
      </text>
    </comment>
    <comment ref="A7" authorId="0" shapeId="0">
      <text>
        <r>
          <rPr>
            <b/>
            <sz val="9"/>
            <color indexed="81"/>
            <rFont val="Tahoma"/>
            <family val="2"/>
          </rPr>
          <t xml:space="preserve">KzI: </t>
        </r>
        <r>
          <rPr>
            <sz val="9"/>
            <color indexed="81"/>
            <rFont val="Tahoma"/>
            <family val="2"/>
          </rPr>
          <t xml:space="preserve">Caracteristicas que son diferenciadores que el proyecto entregará en el producto o servicio entregado
</t>
        </r>
      </text>
    </comment>
  </commentList>
</comments>
</file>

<file path=xl/comments2.xml><?xml version="1.0" encoding="utf-8"?>
<comments xmlns="http://schemas.openxmlformats.org/spreadsheetml/2006/main">
  <authors>
    <author>Ing Diego Ochoa</author>
  </authors>
  <commentList>
    <comment ref="B3" authorId="0" shapeId="0">
      <text>
        <r>
          <rPr>
            <b/>
            <sz val="9"/>
            <color indexed="81"/>
            <rFont val="Tahoma"/>
            <family val="2"/>
          </rPr>
          <t>KzI:</t>
        </r>
        <r>
          <rPr>
            <sz val="9"/>
            <color indexed="81"/>
            <rFont val="Tahoma"/>
            <family val="2"/>
          </rPr>
          <t xml:space="preserve">
US = User Story
EP = Epica</t>
        </r>
      </text>
    </comment>
  </commentList>
</comments>
</file>

<file path=xl/comments3.xml><?xml version="1.0" encoding="utf-8"?>
<comments xmlns="http://schemas.openxmlformats.org/spreadsheetml/2006/main">
  <authors>
    <author>tc={7AD4058E-1BEC-43D3-ABE3-53AE79696D00}</author>
    <author>Diego Ochoa</author>
  </authors>
  <commentList>
    <comment ref="D1" authorId="0" shape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Impedimiento o Riesgo</t>
        </r>
      </text>
    </comment>
    <comment ref="H1" authorId="1" shapeId="0">
      <text>
        <r>
          <rPr>
            <b/>
            <sz val="9"/>
            <color indexed="81"/>
            <rFont val="Tahoma"/>
            <family val="2"/>
          </rPr>
          <t>Diego Ochoa:
1) En analisis
2) En proceso de atención
3) Detenido
4) Atendido
5) Cerrado
6) Descartado</t>
        </r>
      </text>
    </comment>
  </commentList>
</comments>
</file>

<file path=xl/sharedStrings.xml><?xml version="1.0" encoding="utf-8"?>
<sst xmlns="http://schemas.openxmlformats.org/spreadsheetml/2006/main" count="610" uniqueCount="293">
  <si>
    <t>Project Vision  Proyecto Propio</t>
  </si>
  <si>
    <t>PARA</t>
  </si>
  <si>
    <t>OPORTUNIDAD O NECESIDAD</t>
  </si>
  <si>
    <t>EL</t>
  </si>
  <si>
    <t>BENEFICIOS</t>
  </si>
  <si>
    <t>A DIFERENCIA</t>
  </si>
  <si>
    <t>NUESTRO PRODUCTO</t>
  </si>
  <si>
    <t>Ejemplo de llenado</t>
  </si>
  <si>
    <t>Involucrado</t>
  </si>
  <si>
    <t>Rol</t>
  </si>
  <si>
    <t>Tipo</t>
  </si>
  <si>
    <t>Descripicion del rol</t>
  </si>
  <si>
    <t>Descripción de la persona(s)</t>
  </si>
  <si>
    <t>Mail</t>
  </si>
  <si>
    <t>CORE</t>
  </si>
  <si>
    <t>NO CORE</t>
  </si>
  <si>
    <t>Involucrados en del Proyecto propio</t>
  </si>
  <si>
    <t xml:space="preserve">ESTRUCTURA DE LA ÉPICA O HISTORIA DE USUARIO </t>
  </si>
  <si>
    <t>ID</t>
  </si>
  <si>
    <t>TIPO</t>
  </si>
  <si>
    <t>¿Qué requiere?</t>
  </si>
  <si>
    <t>DC/UAT</t>
  </si>
  <si>
    <t>Valor/ Beneficio</t>
  </si>
  <si>
    <t>Esfuerzo Sem</t>
  </si>
  <si>
    <t>Product Backlog</t>
  </si>
  <si>
    <t>Must</t>
  </si>
  <si>
    <t>US</t>
  </si>
  <si>
    <t>Should</t>
  </si>
  <si>
    <t>Could</t>
  </si>
  <si>
    <t># Sprint</t>
  </si>
  <si>
    <t># Semana</t>
  </si>
  <si>
    <t>Fecha Entregable</t>
  </si>
  <si>
    <t>ESTIMACIÓN ENTREGABLES</t>
  </si>
  <si>
    <t>ESTIMACIÓN SPRINTS</t>
  </si>
  <si>
    <t>Puntos
(Planning Pocker)</t>
  </si>
  <si>
    <t>Equivalencia Release
Esfuerzo</t>
  </si>
  <si>
    <t>Unidad</t>
  </si>
  <si>
    <t>Consideraciones generales para la estimación</t>
  </si>
  <si>
    <t>Semana</t>
  </si>
  <si>
    <t>SPRINT 2</t>
  </si>
  <si>
    <t>SPRINT 3</t>
  </si>
  <si>
    <t>SPRINT 4</t>
  </si>
  <si>
    <t>HISTORIA DE USUARIO</t>
  </si>
  <si>
    <t>Responsable</t>
  </si>
  <si>
    <t>Actividad</t>
  </si>
  <si>
    <t>Story Points</t>
  </si>
  <si>
    <t>Estatus</t>
  </si>
  <si>
    <t>TOTALES</t>
  </si>
  <si>
    <t>BRUDOWN CHART</t>
  </si>
  <si>
    <t>GESTIÓN DIARIA</t>
  </si>
  <si>
    <t>Fecha de Inicio</t>
  </si>
  <si>
    <t>Dia</t>
  </si>
  <si>
    <t>Trabajo Planeado</t>
  </si>
  <si>
    <t>Trabajo Real</t>
  </si>
  <si>
    <t>Valor Actual</t>
  </si>
  <si>
    <t>Fecha de Fin</t>
  </si>
  <si>
    <t>Total de días efectivos de trabajo (ideal time)</t>
  </si>
  <si>
    <t>Total de puntos</t>
  </si>
  <si>
    <t>Ideal de puntos por día</t>
  </si>
  <si>
    <t>Planning Meeting</t>
  </si>
  <si>
    <t>Reunion de Revision</t>
  </si>
  <si>
    <t>Reunion Retrospectiva</t>
  </si>
  <si>
    <t>Dias festivos</t>
  </si>
  <si>
    <t>Días realmente efectivos</t>
  </si>
  <si>
    <t>Sprint</t>
  </si>
  <si>
    <t>Fecha</t>
  </si>
  <si>
    <t>Descripción del impedimento e impacto</t>
  </si>
  <si>
    <t>Acciones preventivas o correctivas</t>
  </si>
  <si>
    <t>F. Ultima Actualización</t>
  </si>
  <si>
    <t>En proceso</t>
  </si>
  <si>
    <t>Emmanuel Sierra</t>
  </si>
  <si>
    <t>Product Owner</t>
  </si>
  <si>
    <t>N/A</t>
  </si>
  <si>
    <t>Equipo SCRUM</t>
  </si>
  <si>
    <t>Usuario</t>
  </si>
  <si>
    <t>20 créditos</t>
  </si>
  <si>
    <t>5 créditos</t>
  </si>
  <si>
    <t>1 Semana</t>
  </si>
  <si>
    <t>10 créditos</t>
  </si>
  <si>
    <t>Sistema</t>
  </si>
  <si>
    <t>25 créditos</t>
  </si>
  <si>
    <t>15 créditos</t>
  </si>
  <si>
    <t>Días</t>
  </si>
  <si>
    <t>Semanas</t>
  </si>
  <si>
    <t>Demasiado grande: Debe desglosarse (fuera de los límites del Sprint).</t>
  </si>
  <si>
    <t>Pendiente</t>
  </si>
  <si>
    <t>Técnico</t>
  </si>
  <si>
    <t>Emmanuel</t>
  </si>
  <si>
    <t>Infraestructura</t>
  </si>
  <si>
    <t>Cerrado</t>
  </si>
  <si>
    <t>Externo</t>
  </si>
  <si>
    <t>Abierto</t>
  </si>
  <si>
    <t>Recursos</t>
  </si>
  <si>
    <t>QA</t>
  </si>
  <si>
    <t>Descripción del Caso del negocio</t>
  </si>
  <si>
    <r>
      <t xml:space="preserve">El proyecto surge de la necesidad crítica en la Gerencia de Programa Plataforma Satelital de CANTV (Sede Principal, Av. Libertador) de centralizar y automatizar el control de activos físicos de fibra óptica y equipamiento GPON. Actualmente, la gestión se realiza de forma manual o dispersa, lo que genera opacidad en los niveles de stock, dificultad en la trazabilidad de movimientos entre almacenes y riesgos operativos por falta de insumos críticos.
Como proyecto universitario de fin de carrera, SIGPON propone una arquitectura desacoplada (Backend en Laravel 12 y Frontend en React 19) para digitalizar este flujo. Al ser un desarrollo académico realizado por un único desarrollador (Scrum Master / Dev), el costo de implementación de software es cero, utilizando herramientas Open Source, pero con un valor estratégico alto para la eficiencia institucional de CANTV.
</t>
    </r>
    <r>
      <rPr>
        <u/>
        <sz val="11"/>
        <color theme="1"/>
        <rFont val="Calibri"/>
        <family val="2"/>
        <scheme val="minor"/>
      </rPr>
      <t>Expectativas de éxito (en orden de importancia):</t>
    </r>
    <r>
      <rPr>
        <sz val="11"/>
        <color theme="1"/>
        <rFont val="Calibri"/>
        <family val="2"/>
        <scheme val="minor"/>
      </rPr>
      <t xml:space="preserve">
1.- Centralización y Seguridad (25 ptos.): Implementación de un sistema de autenticación robusto y control de acceso basado en roles (RBAC) para asegurar que solo personal autorizado gestione la data sensible de la plataforma satelital.
2.- Control de Existencias en Tiempo Real (25 ptos.): Disponibilidad inmediata de niveles de stock de equipos de transmisión y acceso, eliminando el uso de hojas de cálculo propensas a errores.
3.- Automatización de Alertas (20 ptos.): Notificación automática de stock mínimo para evitar quiebres de inventario en materiales críticos de fibra óptica.
4.- Trazabilidad Total de Movimientos (15 ptos.): Registro auditable (Log de cambios con IP y usuario) de cada entrada, salida o traslado entre almacenes, garantizando la integridad de los activos.
5.- Generación de Reportes Operativos (15 ptos.): Capacidad de exportar datos detallados para procesos de auditoría interna y toma de decisiones gerenciales.
</t>
    </r>
    <r>
      <rPr>
        <u/>
        <sz val="11"/>
        <color theme="1"/>
        <rFont val="Calibri"/>
        <family val="2"/>
        <scheme val="minor"/>
      </rPr>
      <t>Justificación Técnica:</t>
    </r>
    <r>
      <rPr>
        <sz val="11"/>
        <color theme="1"/>
        <rFont val="Calibri"/>
        <family val="2"/>
        <scheme val="minor"/>
      </rPr>
      <t xml:space="preserve">
El uso de PostgreSQL como motor de base de datos garantiza la integridad referencial necesaria para los 12 esquemas de tablas definidos. La metodología Scrum permitirá gestionar las 18 historias de usuario en un periodo de 180 horas (Mayo-Junio 2026), asegurando entregas de valor incrementales validadas por el Product Owner (Ing. Rodolfo Pacheco).</t>
    </r>
  </si>
  <si>
    <t>El personal de la Gerencia de Programa Plataforma Satelital de CANTV que gestiona equipamiento de Fibra Óptica y tecnología GPON.</t>
  </si>
  <si>
    <t>Digitalizar y centralizar el control de activos físicos para eliminar la opacidad de los datos, la dispersión en hojas de cálculo y la falta de trazabilidad en tiempo real.</t>
  </si>
  <si>
    <t>Sistema de Inventario de GPON (SIGPON) con arquitectura desacoplada (API Laravel 12 + SPA React 19).</t>
  </si>
  <si>
    <t>Control total de existencias, monitorización de stock crítico mediante alertas automáticas, trazabilidad auditable de movimientos (IP/Usuario) y optimización de la respuesta operativa.</t>
  </si>
  <si>
    <t>De los procesos manuales y registros en Excel que son propensos a errores humanos, inconsistencias de datos y carecen de auditoría formal.</t>
  </si>
  <si>
    <t>Ofrece una plataforma robusta con base de datos PostgreSQL, acceso basado en roles (RBAC) y una interfaz intuitiva que garantiza la integridad de la data en la Sede Principal.</t>
  </si>
  <si>
    <t>Móvil</t>
  </si>
  <si>
    <t>Ing. Rodolfo Pacheco</t>
  </si>
  <si>
    <t>Responsable de priorizar el Backlog y asegurar que el sistema cumpla con los requerimientos operativos de la Gerencia.</t>
  </si>
  <si>
    <t>Msc. Ing. Electrico, experto en Telecomunicaciones</t>
  </si>
  <si>
    <t>rpach1@cantv.com.ve</t>
  </si>
  <si>
    <t>+58 212 5001041</t>
  </si>
  <si>
    <t>Gerencia de línea</t>
  </si>
  <si>
    <t>Facilitador del marco de trabajo Scrum y encargado del desarrollo Full Stack (Laravel/React).</t>
  </si>
  <si>
    <t>Desarrollador Full Stack, con visión de procesos, con experiencia en Telecomunicaciones</t>
  </si>
  <si>
    <t>emmanuel.sierra@gmail.com</t>
  </si>
  <si>
    <t>+58 412 6009860</t>
  </si>
  <si>
    <t>Lider de Proyectos</t>
  </si>
  <si>
    <t>Ing. Carmen Lucien</t>
  </si>
  <si>
    <t>Líder de Proyecto</t>
  </si>
  <si>
    <t>Supervisión estratégica y alineación del sistema con los objetivos de Proyectos Mayores de CANTV.</t>
  </si>
  <si>
    <t>Ingeniero, esperta en el área de telecomunicaciones</t>
  </si>
  <si>
    <t>clucien02@cantv.com.ve</t>
  </si>
  <si>
    <t>Ing. Gladys Urbina</t>
  </si>
  <si>
    <t>Supervisora de procesos administrativos y calidad documental institucional.</t>
  </si>
  <si>
    <t>gurbina03@cantv.com.ve</t>
  </si>
  <si>
    <t>Noel Polanco</t>
  </si>
  <si>
    <t>Operador Experto</t>
  </si>
  <si>
    <t>Usuario final clave para validar el registro de equipos de acceso y transmisión en el Piso 7.</t>
  </si>
  <si>
    <t>npolan2@cantv.com.ve</t>
  </si>
  <si>
    <t>Nancy Alarcón</t>
  </si>
  <si>
    <t>Técnico (Auditoría)</t>
  </si>
  <si>
    <t>Responsable de validar la integridad de los reportes y el registro de Logs (trazabilidad).</t>
  </si>
  <si>
    <t>Técnico Superior Universitario</t>
  </si>
  <si>
    <t>nalarc01@cantv.com.ve</t>
  </si>
  <si>
    <t>Gustavo López</t>
  </si>
  <si>
    <t>Técnico (Operador)</t>
  </si>
  <si>
    <t>Usuario encargado de la validación de usabilidad (UX) en la consulta rápida de existencias.</t>
  </si>
  <si>
    <t>glopezg2@cantv.com.ve</t>
  </si>
  <si>
    <t>Esteban García</t>
  </si>
  <si>
    <t>Técnico (Logística)</t>
  </si>
  <si>
    <t>Responsable de validar la gestión de suministros y accesorios de fibra óptica.</t>
  </si>
  <si>
    <t>egarcia04@cantv.com.ve</t>
  </si>
  <si>
    <t>Gerencias Operativas</t>
  </si>
  <si>
    <t>Visitantes</t>
  </si>
  <si>
    <t>Usuarios externos que solo requieren consulta de catálogo para planificación, sin permisos de edición.</t>
  </si>
  <si>
    <t>Varios tipo de usuarios, profesionales y técnicos</t>
  </si>
  <si>
    <t>Scrum Master / Developer Full Stack</t>
  </si>
  <si>
    <t>Línea de mando</t>
  </si>
  <si>
    <t>Capacidad técnica al 100</t>
  </si>
  <si>
    <t>Autenticación de Usuarios</t>
  </si>
  <si>
    <t>Como Usuario necesito autenticarme con correo y clave para acceder al Dashboard.</t>
  </si>
  <si>
    <t>Control de Acceso RBAC</t>
  </si>
  <si>
    <t>Como Usuario quiero acceso restringido según mi rol para evitar usos no autorizados.</t>
  </si>
  <si>
    <t>Recuperación de Clave</t>
  </si>
  <si>
    <t>Como Usuario quiero recuperar mi clave por correo para restablecer mi acceso.</t>
  </si>
  <si>
    <t>Operador</t>
  </si>
  <si>
    <t>CRUD Catálogo Equipos</t>
  </si>
  <si>
    <t>Como Operador necesito gestionar el catálogo GPON para eliminar registros manuales.</t>
  </si>
  <si>
    <t>Visitante</t>
  </si>
  <si>
    <t>Visualización Catálogo</t>
  </si>
  <si>
    <t>Como Visitante quiero ver el catálogo de equipos para planificar sin editar datos.</t>
  </si>
  <si>
    <t>Todos</t>
  </si>
  <si>
    <t>Control de Existencias</t>
  </si>
  <si>
    <t>Como Usuario necesito ver el stock disponible para conocer la realidad física del inventario.</t>
  </si>
  <si>
    <t>Entradas y Salidas</t>
  </si>
  <si>
    <t>Como Operador quiero registrar movimientos para rastrear el flujo de equipos.</t>
  </si>
  <si>
    <t>Alertas Stock Mínimo</t>
  </si>
  <si>
    <t>Como Sistema requiero alertar el stock bajo para evitar quiebres de materiales críticos.</t>
  </si>
  <si>
    <t>Reportes por Almacén</t>
  </si>
  <si>
    <t>Como Usuario quiero exportar stock por almacén para documentar el inventario.</t>
  </si>
  <si>
    <t>Reportes de Movimientos</t>
  </si>
  <si>
    <t>Como Usuario quiero generar reportes de movimientos para analizar entradas y salidas.</t>
  </si>
  <si>
    <t>Admin</t>
  </si>
  <si>
    <t>Log de Cambios</t>
  </si>
  <si>
    <t>Como Admin quiero auditar cambios en la data para saber quién y desde dónde se modificó.</t>
  </si>
  <si>
    <t>Historial de Accesos</t>
  </si>
  <si>
    <t>Como Admin quiero ver intentos de login para detectar accesos inusuales.</t>
  </si>
  <si>
    <t>Datos Institucionales</t>
  </si>
  <si>
    <t>Como Admin quiero configurar Logo y RIF para personalizar los reportes de CANTV.</t>
  </si>
  <si>
    <t>Gestión de Usuarios</t>
  </si>
  <si>
    <t>Como Admin quiero administrar cuentas para controlar el acceso de nuevos técnicos.</t>
  </si>
  <si>
    <t>Tablas Maestras</t>
  </si>
  <si>
    <t>Como Admin quiero gestionar marcas y modelos para mantener datos maestros limpios.</t>
  </si>
  <si>
    <t>Consulta de Maestros</t>
  </si>
  <si>
    <t>Como Operador quiero ver listas de marcas para evitar errores en el registro.</t>
  </si>
  <si>
    <t>Respaldo de BD</t>
  </si>
  <si>
    <t>Como Admin quiero generar dumps de PostgreSQL para garantizar la recuperación ante fallas.</t>
  </si>
  <si>
    <t>Cambio de Contraseña</t>
  </si>
  <si>
    <t>Como Usuario quiero cambiar mi clave activa para mantener mi cuenta segura.</t>
  </si>
  <si>
    <t>0.5 Semanas</t>
  </si>
  <si>
    <t>1.5 Semanas</t>
  </si>
  <si>
    <t>Estimación SP</t>
  </si>
  <si>
    <t>30 créditos</t>
  </si>
  <si>
    <t>1. Validación contra PostgreSQL. 2. Uso de BCRYPT para contraseñas. 3. Redirección al Dashboard tras éxito.</t>
  </si>
  <si>
    <t>1. Middleware en Laravel bloquea rutas no permitidas. 2. Menú de React oculta opciones según rol (Admin/Sup/Op/Vis).</t>
  </si>
  <si>
    <t>1. Envío de token por SMTP. 2. El token debe expirar en 60 minutos. 3. No permite cambio sin token válido.</t>
  </si>
  <si>
    <t>1. Formulario valida campos obligatorios. 2. Confirmación antes de eliminar. 3. Los cambios se reflejan en tiempo real.</t>
  </si>
  <si>
    <t>1. Deshabilitar botones de edición/borrado. 2. Acceso de "solo lectura" verificado en la API.</t>
  </si>
  <si>
    <t>1. El stock se calcula sumando entradas y restando salidas. 2. Mostrar indicador visual de disponibilidad.</t>
  </si>
  <si>
    <t>1. Registro obligatorio de fecha y motivo. 2. Validación de stock suficiente para salidas. 3. Actualización de tabla inventario.</t>
  </si>
  <si>
    <t>1. Notificación en pantalla cuando Stock &lt; Umbral. 2. El umbral debe ser configurable por equipo.</t>
  </si>
  <si>
    <t>1. Exportación a PDF/Excel. 2. Filtro funcional por almacén físico. 3. Incluir membrete de CANTV.</t>
  </si>
  <si>
    <t>1. Listado cronológico de transacciones. 2. Debe incluir el nombre del operador que realizó el movimiento.</t>
  </si>
  <si>
    <t>1. Registro inalterable de: Usuario, IP, Fecha, Tabla y Acción. 2. Solo visible para el rol Admin.</t>
  </si>
  <si>
    <t>1. Registro de logins exitosos y fallidos. 2. Búsqueda por rango de fechas funcional.</t>
  </si>
  <si>
    <t>1. Formulario para subir Logo y RIF. 2. Los datos deben actualizarse automáticamente en la cabecera de los reportes.</t>
  </si>
  <si>
    <t>1. CRUD completo de usuarios. 2. El sistema debe impedir que el Admin se elimine a sí mismo.</t>
  </si>
  <si>
    <t>1. Gestión de Marcas/Modelos. 2. Restricción de borrado si existen equipos vinculados (integridad).</t>
  </si>
  <si>
    <t>1. Dropdowns en formularios de inventario poblados desde la BD. 2. Carga rápida (&lt; 1 seg).</t>
  </si>
  <si>
    <t>1. Ejecución de pg_dump desde la interfaz. 2. Descarga de archivo comprimido (.sql o .backup).</t>
  </si>
  <si>
    <t>1. Validar contraseña actual antes del cambio. 2. Longitud mínima de 8 caracteres.</t>
  </si>
  <si>
    <t>Prioridad</t>
  </si>
  <si>
    <t>Simulación (Sprint de 2 semanas)</t>
  </si>
  <si>
    <t>Sprint 1</t>
  </si>
  <si>
    <t>Sprint 2</t>
  </si>
  <si>
    <t>Sprint 3</t>
  </si>
  <si>
    <t>Sprint 4</t>
  </si>
  <si>
    <t>101, 102, 103, 502, 503</t>
  </si>
  <si>
    <t>201, 202, 504, 505</t>
  </si>
  <si>
    <t>203, 204, 205, 506</t>
  </si>
  <si>
    <t>301, 302, 401, 402, 501</t>
  </si>
  <si>
    <t>Entregables</t>
  </si>
  <si>
    <t>15 de Mayo, 2026</t>
  </si>
  <si>
    <t>29 de Mayo, 2026</t>
  </si>
  <si>
    <t>12 de Junio, 2026</t>
  </si>
  <si>
    <t>26 de Junio, 2026</t>
  </si>
  <si>
    <t>SPRINT 1</t>
  </si>
  <si>
    <t>Horas</t>
  </si>
  <si>
    <t>Tareas triviales: ajustes de UI en React, cambios de etiquetas o correcciones de rutas.</t>
  </si>
  <si>
    <t>Tareas simples: creación de un componente React básico o un endpoint único en Laravel.</t>
  </si>
  <si>
    <t>Tareas medias: validaciones de formularios, maquetación de vistas o servicios SMTP.</t>
  </si>
  <si>
    <t>Tareas complejas: lógica de negocio (alertas), CRUDs con seguridad o gestión de perfiles.</t>
  </si>
  <si>
    <t>Historias completas: Sistema de login con RBAC, Catálogo funcional o Auditoría.</t>
  </si>
  <si>
    <t>Historias críticas: Motor de Entradas/Salidas y cálculo automático de stock real.</t>
  </si>
  <si>
    <t>&gt; 3</t>
  </si>
  <si>
    <t>4 - 6</t>
  </si>
  <si>
    <t>1 - 2</t>
  </si>
  <si>
    <t>2 - 3</t>
  </si>
  <si>
    <t>101 - Autenticación</t>
  </si>
  <si>
    <t>Migración de tablas y configuración de Laravel Sanctum.</t>
  </si>
  <si>
    <t>Completada</t>
  </si>
  <si>
    <t>Formulario de Login en React con validaciones.</t>
  </si>
  <si>
    <t>102 - Control RBAC</t>
  </si>
  <si>
    <t>Implementación de Roles/Permisos (Spatie) y Middlewares.</t>
  </si>
  <si>
    <t>Menú lateral dinámico según perfil del usuario.</t>
  </si>
  <si>
    <t>103 - Recup. Clave</t>
  </si>
  <si>
    <t>Lógica de tokens y envío de correos vía SMTP CANTV.</t>
  </si>
  <si>
    <t>502 - Gestión Usuarios</t>
  </si>
  <si>
    <t>CRUD de usuarios y asignación de roles desde Admin.</t>
  </si>
  <si>
    <t>503 - Tablas Maestras</t>
  </si>
  <si>
    <t>Estructura de marcas y modelos en base de datos.</t>
  </si>
  <si>
    <t>201 - CRUD Catálogo</t>
  </si>
  <si>
    <t>Endpoints para gestión de equipos (Acceso/Transmisión).</t>
  </si>
  <si>
    <t>Galería de equipos con carga de imágenes/fichas.</t>
  </si>
  <si>
    <t>202 - Vista Visitante</t>
  </si>
  <si>
    <t>Perfil de solo lectura y buscador de catálogo.</t>
  </si>
  <si>
    <t>504 - Consulta Maestros</t>
  </si>
  <si>
    <t>Listas desplegables optimizadas para formularios.</t>
  </si>
  <si>
    <t>505 - Respaldo BD</t>
  </si>
  <si>
    <t>Script automatizado de dump para PostgreSQL.</t>
  </si>
  <si>
    <t>204 - Movimientos</t>
  </si>
  <si>
    <t>Motor de transacciones para Entradas y Salidas.</t>
  </si>
  <si>
    <t>En Proceso</t>
  </si>
  <si>
    <t>Lógica de validación de stock físico vs solicitado.</t>
  </si>
  <si>
    <t>203 - Stock Real</t>
  </si>
  <si>
    <t>Vista de Dashboard con indicadores de disponibilidad.</t>
  </si>
  <si>
    <t>205 - Alertas Stock</t>
  </si>
  <si>
    <t>Servicio de notificaciones por umbral mínimo.</t>
  </si>
  <si>
    <t>506 - Cambio Clave</t>
  </si>
  <si>
    <t>Interfaz de seguridad para actualización de password.</t>
  </si>
  <si>
    <t>301 - Reporte Almacén</t>
  </si>
  <si>
    <t>Generación de reportes de stock en PDF/Excel.</t>
  </si>
  <si>
    <t>302 - Reporte Movs</t>
  </si>
  <si>
    <t>Historial de transacciones con filtros avanzados.</t>
  </si>
  <si>
    <t>401 - Log de Cambios</t>
  </si>
  <si>
    <t>Registro inalterable de acciones por IP/Usuario.</t>
  </si>
  <si>
    <t>402 - Historial Acceso</t>
  </si>
  <si>
    <t>Visor de intentos de login y sesiones activas.</t>
  </si>
  <si>
    <t>501 - Datos Inst.</t>
  </si>
  <si>
    <t>Configuración de Logo y RIF para reportes oficiales.</t>
  </si>
  <si>
    <t>Conflicto de puertos entre el servidor artesanal de Laravel (8000) y servicios locales del sistema.</t>
  </si>
  <si>
    <t>Reasignación manual de puertos en el comando php artisan serve y limpieza de procesos en segundo plano.</t>
  </si>
  <si>
    <t>Error en la propagación de DNS al intentar unir clientes al dominio de prueba.</t>
  </si>
  <si>
    <t>Ajuste manual de DNS en clientes apuntando directamente a la IP del servidor Windows Server.</t>
  </si>
  <si>
    <t>Error de conexión "Ident authentication failed" en PostgreSQL tras cambio de política de seguridad local.</t>
  </si>
  <si>
    <t>Modificación del archivo pg_hba.conf para permitir el método md5 desde localhost.</t>
  </si>
  <si>
    <t>Retraso en la entrega de la lista oficial de almacenes de la Gerencia Satelital.</t>
  </si>
  <si>
    <t>Uso de datos "semilla" (Seeders en Laravel) para no detener el avance del frontend en React.</t>
  </si>
  <si>
    <t>El cálculo de stock físico vs órdenes en tránsito presenta lentitud por falta de índices en la base de datos.</t>
  </si>
  <si>
    <t>Creación de índices en las llaves foráneas de la tabla movimientos y optimización de Eloquent.</t>
  </si>
  <si>
    <t>Alta carga de actividades académicas finales en la UNETI que compromete el ritmo del Sprint.</t>
  </si>
  <si>
    <t>Repriorización del Backlog para asegurar que las 18 historias críticas se entreguen a tiempo.</t>
  </si>
  <si>
    <t>Incompatibilidad de la librería de PDF con ciertos caracteres especiales en los reportes de inventario.</t>
  </si>
  <si>
    <t>Ajuste en la configuración de fuentes UTF-8 en el motor de renderizado de Laravel.</t>
  </si>
  <si>
    <t>Hallazgo de vulnerabilidad menor (XSS) en formularios de entrada de equipos durante pruebas de seguridad.</t>
  </si>
  <si>
    <t>Implementación de filtros de sanitización adicionales y validación estricta de Request en Laravel.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</si>
</sst>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9" formatCode="0.0"/>
  </numFmts>
  <fonts count="23" x14ac:knownFonts="1">
    <font>
      <sz val="11"/>
      <color theme="1"/>
      <name val="Calibri"/>
      <family val="2"/>
      <scheme val="minor"/>
    </font>
    <font>
      <b/>
      <sz val="11"/>
      <color theme="1"/>
      <name val="Calibri"/>
      <family val="2"/>
      <scheme val="minor"/>
    </font>
    <font>
      <b/>
      <sz val="12"/>
      <color theme="0"/>
      <name val="Calibri"/>
      <family val="2"/>
      <scheme val="minor"/>
    </font>
    <font>
      <sz val="9"/>
      <color indexed="81"/>
      <name val="Tahoma"/>
      <family val="2"/>
    </font>
    <font>
      <b/>
      <sz val="9"/>
      <color indexed="81"/>
      <name val="Tahoma"/>
      <family val="2"/>
    </font>
    <font>
      <b/>
      <sz val="16"/>
      <color theme="0"/>
      <name val="Calibri"/>
      <family val="2"/>
      <scheme val="minor"/>
    </font>
    <font>
      <b/>
      <sz val="11"/>
      <color theme="0"/>
      <name val="Calibri"/>
      <family val="2"/>
      <scheme val="minor"/>
    </font>
    <font>
      <sz val="11"/>
      <color theme="0"/>
      <name val="Calibri"/>
      <family val="2"/>
      <scheme val="minor"/>
    </font>
    <font>
      <b/>
      <sz val="12"/>
      <color theme="0"/>
      <name val="Arial"/>
      <family val="2"/>
    </font>
    <font>
      <sz val="11"/>
      <color theme="0"/>
      <name val="Arial"/>
      <family val="2"/>
    </font>
    <font>
      <sz val="12"/>
      <color theme="0"/>
      <name val="Arial"/>
      <family val="2"/>
    </font>
    <font>
      <sz val="10"/>
      <color theme="1"/>
      <name val="Arial"/>
      <family val="2"/>
    </font>
    <font>
      <b/>
      <sz val="10"/>
      <color theme="1"/>
      <name val="Arial"/>
      <family val="2"/>
    </font>
    <font>
      <b/>
      <sz val="14"/>
      <color theme="0"/>
      <name val="Calibri"/>
      <family val="2"/>
      <scheme val="minor"/>
    </font>
    <font>
      <i/>
      <sz val="11"/>
      <color theme="1"/>
      <name val="Calibri"/>
      <family val="2"/>
      <scheme val="minor"/>
    </font>
    <font>
      <sz val="9"/>
      <color theme="1"/>
      <name val="Arial"/>
      <family val="2"/>
    </font>
    <font>
      <u/>
      <sz val="11"/>
      <color theme="1"/>
      <name val="Calibri"/>
      <family val="2"/>
      <scheme val="minor"/>
    </font>
    <font>
      <b/>
      <sz val="14"/>
      <color theme="1"/>
      <name val="Calibri"/>
      <family val="2"/>
      <scheme val="minor"/>
    </font>
    <font>
      <sz val="14"/>
      <color theme="1"/>
      <name val="Calibri"/>
      <family val="2"/>
      <scheme val="minor"/>
    </font>
    <font>
      <sz val="9"/>
      <color theme="1"/>
      <name val="Calibri"/>
      <family val="2"/>
      <scheme val="minor"/>
    </font>
    <font>
      <b/>
      <sz val="9"/>
      <color theme="1"/>
      <name val="Calibri"/>
      <family val="2"/>
      <scheme val="minor"/>
    </font>
    <font>
      <b/>
      <sz val="16"/>
      <color theme="1"/>
      <name val="Calibri"/>
      <family val="2"/>
      <scheme val="minor"/>
    </font>
    <font>
      <b/>
      <sz val="20"/>
      <color theme="1"/>
      <name val="Calibri"/>
      <family val="2"/>
      <scheme val="minor"/>
    </font>
  </fonts>
  <fills count="2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0"/>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2" tint="-0.89999084444715716"/>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00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160">
    <xf numFmtId="0" fontId="0" fillId="0" borderId="0" xfId="0"/>
    <xf numFmtId="0" fontId="6" fillId="6" borderId="12" xfId="0" applyFont="1" applyFill="1" applyBorder="1" applyAlignment="1">
      <alignment horizontal="center" vertical="center"/>
    </xf>
    <xf numFmtId="0" fontId="0" fillId="0" borderId="0" xfId="0" applyFill="1"/>
    <xf numFmtId="0" fontId="2" fillId="2" borderId="2" xfId="0" applyFont="1" applyFill="1" applyBorder="1" applyAlignment="1">
      <alignment horizontal="center" vertical="center"/>
    </xf>
    <xf numFmtId="0" fontId="6" fillId="6" borderId="17" xfId="0" applyFont="1" applyFill="1" applyBorder="1" applyAlignment="1">
      <alignment horizontal="center" vertical="center" wrapText="1"/>
    </xf>
    <xf numFmtId="0" fontId="6" fillId="6" borderId="20" xfId="0" applyFont="1" applyFill="1" applyBorder="1" applyAlignment="1">
      <alignment horizontal="center" vertical="center" wrapText="1"/>
    </xf>
    <xf numFmtId="0" fontId="0" fillId="8" borderId="0" xfId="0" applyFill="1"/>
    <xf numFmtId="0" fontId="8"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1" fillId="0" borderId="0" xfId="0" applyFont="1" applyBorder="1" applyAlignment="1">
      <alignment horizontal="left" vertical="center"/>
    </xf>
    <xf numFmtId="0" fontId="11" fillId="3" borderId="0" xfId="0" applyFont="1" applyFill="1" applyBorder="1" applyAlignment="1">
      <alignment horizontal="left" vertical="center"/>
    </xf>
    <xf numFmtId="0" fontId="11" fillId="0" borderId="14" xfId="0" applyFont="1" applyBorder="1" applyAlignment="1">
      <alignment horizontal="left" vertical="center"/>
    </xf>
    <xf numFmtId="0" fontId="0" fillId="3" borderId="16" xfId="0" applyFill="1" applyBorder="1"/>
    <xf numFmtId="0" fontId="0" fillId="0" borderId="0" xfId="0" applyBorder="1" applyAlignment="1">
      <alignment horizontal="center" vertical="center"/>
    </xf>
    <xf numFmtId="0" fontId="0" fillId="0" borderId="5" xfId="0" applyBorder="1" applyAlignment="1">
      <alignment horizontal="center" vertical="center"/>
    </xf>
    <xf numFmtId="0" fontId="8" fillId="2" borderId="8" xfId="0" applyFont="1" applyFill="1" applyBorder="1" applyAlignment="1">
      <alignment horizontal="center" vertical="center"/>
    </xf>
    <xf numFmtId="0" fontId="8" fillId="2" borderId="9" xfId="0" applyFont="1" applyFill="1" applyBorder="1" applyAlignment="1">
      <alignment horizontal="center" vertical="center"/>
    </xf>
    <xf numFmtId="0" fontId="12" fillId="0" borderId="21" xfId="0" applyFont="1" applyBorder="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wrapText="1"/>
    </xf>
    <xf numFmtId="0" fontId="0" fillId="0" borderId="0" xfId="0" applyBorder="1" applyAlignment="1">
      <alignment horizontal="left" vertical="center"/>
    </xf>
    <xf numFmtId="0" fontId="12" fillId="3" borderId="21" xfId="0" applyFont="1" applyFill="1" applyBorder="1" applyAlignment="1">
      <alignment horizontal="center" vertical="center" wrapText="1"/>
    </xf>
    <xf numFmtId="0" fontId="0" fillId="3" borderId="0" xfId="0" applyFill="1" applyBorder="1" applyAlignment="1">
      <alignment vertical="center" wrapText="1"/>
    </xf>
    <xf numFmtId="0" fontId="0" fillId="3" borderId="0" xfId="0" applyFill="1" applyBorder="1" applyAlignment="1">
      <alignment horizontal="left" vertical="center" wrapText="1"/>
    </xf>
    <xf numFmtId="0" fontId="12" fillId="3" borderId="22" xfId="0" applyFont="1" applyFill="1" applyBorder="1" applyAlignment="1">
      <alignment horizontal="center" vertical="center" wrapText="1"/>
    </xf>
    <xf numFmtId="0" fontId="0" fillId="3" borderId="14" xfId="0" applyFill="1" applyBorder="1" applyAlignment="1">
      <alignment vertical="center" wrapText="1"/>
    </xf>
    <xf numFmtId="0" fontId="0" fillId="3" borderId="14" xfId="0" applyFill="1" applyBorder="1" applyAlignment="1">
      <alignment horizontal="left" vertical="center" wrapText="1"/>
    </xf>
    <xf numFmtId="0" fontId="6" fillId="7" borderId="0" xfId="0" applyFont="1" applyFill="1" applyAlignment="1">
      <alignment horizontal="center" vertical="center"/>
    </xf>
    <xf numFmtId="14" fontId="0" fillId="0" borderId="0" xfId="0" applyNumberFormat="1" applyBorder="1" applyAlignment="1">
      <alignment vertical="center"/>
    </xf>
    <xf numFmtId="0" fontId="0" fillId="3" borderId="18" xfId="0" applyNumberFormat="1" applyFill="1" applyBorder="1" applyAlignment="1">
      <alignment horizontal="center" vertical="center"/>
    </xf>
    <xf numFmtId="0" fontId="0" fillId="3" borderId="10" xfId="0" applyNumberFormat="1" applyFill="1" applyBorder="1" applyAlignment="1">
      <alignment horizontal="center" vertical="center"/>
    </xf>
    <xf numFmtId="0" fontId="0" fillId="0" borderId="0" xfId="0" applyFill="1" applyAlignment="1">
      <alignment wrapText="1"/>
    </xf>
    <xf numFmtId="0" fontId="0" fillId="0" borderId="0" xfId="0" applyAlignment="1">
      <alignment horizontal="center"/>
    </xf>
    <xf numFmtId="0" fontId="1" fillId="0" borderId="21" xfId="0" applyFont="1" applyBorder="1" applyAlignment="1">
      <alignment vertical="center"/>
    </xf>
    <xf numFmtId="0" fontId="1" fillId="9" borderId="21" xfId="0" applyFont="1" applyFill="1" applyBorder="1" applyAlignment="1">
      <alignment vertical="center"/>
    </xf>
    <xf numFmtId="0" fontId="0" fillId="0" borderId="21" xfId="0" applyBorder="1" applyAlignment="1">
      <alignment vertical="center" wrapText="1"/>
    </xf>
    <xf numFmtId="0" fontId="0" fillId="9" borderId="21" xfId="0" applyFill="1" applyBorder="1" applyAlignment="1">
      <alignment vertical="center"/>
    </xf>
    <xf numFmtId="0" fontId="0" fillId="0" borderId="22" xfId="0" applyBorder="1" applyAlignment="1">
      <alignment vertical="center"/>
    </xf>
    <xf numFmtId="0" fontId="0" fillId="3" borderId="18" xfId="0" quotePrefix="1" applyNumberFormat="1" applyFill="1" applyBorder="1" applyAlignment="1">
      <alignment horizontal="center" vertical="center"/>
    </xf>
    <xf numFmtId="0" fontId="0" fillId="12" borderId="23" xfId="0" applyFill="1" applyBorder="1" applyAlignment="1">
      <alignment horizontal="center"/>
    </xf>
    <xf numFmtId="0" fontId="2" fillId="2" borderId="24" xfId="0" applyFont="1" applyFill="1" applyBorder="1" applyAlignment="1">
      <alignment horizontal="center" vertical="center"/>
    </xf>
    <xf numFmtId="0" fontId="2" fillId="14" borderId="28" xfId="0" applyFont="1" applyFill="1" applyBorder="1" applyAlignment="1">
      <alignment horizontal="center" vertical="center"/>
    </xf>
    <xf numFmtId="0" fontId="2" fillId="14" borderId="29" xfId="0" applyFont="1" applyFill="1" applyBorder="1" applyAlignment="1">
      <alignment horizontal="center" vertical="center"/>
    </xf>
    <xf numFmtId="0" fontId="13" fillId="14" borderId="11" xfId="0" applyFont="1" applyFill="1" applyBorder="1" applyAlignment="1">
      <alignment horizontal="center" vertical="center"/>
    </xf>
    <xf numFmtId="14" fontId="0" fillId="11" borderId="5" xfId="0" applyNumberFormat="1" applyFill="1" applyBorder="1" applyAlignment="1">
      <alignment vertical="center"/>
    </xf>
    <xf numFmtId="0" fontId="0" fillId="13" borderId="0" xfId="0" applyNumberFormat="1" applyFill="1"/>
    <xf numFmtId="0" fontId="1" fillId="12" borderId="0" xfId="0" applyFont="1" applyFill="1"/>
    <xf numFmtId="0" fontId="0" fillId="5" borderId="5" xfId="0" applyFill="1" applyBorder="1" applyAlignment="1">
      <alignment horizontal="center"/>
    </xf>
    <xf numFmtId="0" fontId="2" fillId="14" borderId="29" xfId="0" applyFont="1" applyFill="1" applyBorder="1" applyAlignment="1">
      <alignment horizontal="center" vertical="center" wrapText="1"/>
    </xf>
    <xf numFmtId="0" fontId="0" fillId="15" borderId="0" xfId="0" applyFill="1"/>
    <xf numFmtId="164" fontId="0" fillId="0" borderId="0" xfId="0" applyNumberFormat="1"/>
    <xf numFmtId="0" fontId="14" fillId="0" borderId="0" xfId="0" applyFont="1" applyAlignment="1">
      <alignment horizontal="right"/>
    </xf>
    <xf numFmtId="0" fontId="1" fillId="10" borderId="15" xfId="0" applyFont="1" applyFill="1" applyBorder="1" applyAlignment="1">
      <alignment horizontal="center" vertical="center" wrapText="1"/>
    </xf>
    <xf numFmtId="0" fontId="1" fillId="10" borderId="16"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5" fillId="4" borderId="4" xfId="0" applyFont="1" applyFill="1" applyBorder="1" applyAlignment="1">
      <alignment horizontal="center" vertical="center"/>
    </xf>
    <xf numFmtId="0" fontId="11" fillId="0" borderId="31" xfId="0" applyFont="1" applyBorder="1" applyAlignment="1">
      <alignment horizontal="center" vertical="center" wrapText="1"/>
    </xf>
    <xf numFmtId="9" fontId="11" fillId="0" borderId="31" xfId="0" applyNumberFormat="1" applyFont="1" applyBorder="1" applyAlignment="1">
      <alignment horizontal="center" vertical="center" wrapText="1"/>
    </xf>
    <xf numFmtId="0" fontId="14" fillId="0" borderId="0" xfId="0" applyFont="1" applyAlignment="1">
      <alignment horizontal="right" vertical="center"/>
    </xf>
    <xf numFmtId="0" fontId="0" fillId="0" borderId="0" xfId="0" applyAlignment="1">
      <alignment vertical="center"/>
    </xf>
    <xf numFmtId="0" fontId="11" fillId="0" borderId="31" xfId="0" applyFont="1" applyBorder="1" applyAlignment="1">
      <alignment horizontal="center" wrapText="1"/>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1" fillId="3" borderId="0" xfId="0" applyFont="1" applyFill="1" applyBorder="1" applyAlignment="1">
      <alignment horizontal="center" vertical="center"/>
    </xf>
    <xf numFmtId="0" fontId="11" fillId="3" borderId="5" xfId="0" applyFont="1" applyFill="1" applyBorder="1" applyAlignment="1">
      <alignment horizontal="center" vertical="center"/>
    </xf>
    <xf numFmtId="0" fontId="11" fillId="0" borderId="14" xfId="0" applyFont="1" applyBorder="1" applyAlignment="1">
      <alignment horizontal="center" vertical="center"/>
    </xf>
    <xf numFmtId="0" fontId="11" fillId="0" borderId="23" xfId="0" applyFont="1" applyBorder="1" applyAlignment="1">
      <alignment horizontal="center" vertical="center"/>
    </xf>
    <xf numFmtId="0" fontId="0" fillId="3" borderId="13" xfId="0" applyFill="1" applyBorder="1" applyAlignment="1">
      <alignment horizontal="center"/>
    </xf>
    <xf numFmtId="0" fontId="0" fillId="3" borderId="3" xfId="0" applyFill="1" applyBorder="1" applyAlignment="1">
      <alignment horizontal="center"/>
    </xf>
    <xf numFmtId="0" fontId="0" fillId="3" borderId="16" xfId="0" applyFill="1" applyBorder="1" applyAlignment="1">
      <alignment horizontal="center"/>
    </xf>
    <xf numFmtId="0" fontId="11" fillId="0" borderId="21" xfId="0" applyFont="1" applyBorder="1" applyAlignment="1">
      <alignment horizontal="center" vertical="center"/>
    </xf>
    <xf numFmtId="0" fontId="11" fillId="3" borderId="21" xfId="0" applyFont="1" applyFill="1" applyBorder="1" applyAlignment="1">
      <alignment horizontal="center" vertical="center"/>
    </xf>
    <xf numFmtId="0" fontId="11" fillId="0" borderId="21" xfId="0" applyFont="1" applyBorder="1" applyAlignment="1">
      <alignment horizontal="center" vertical="center" wrapText="1"/>
    </xf>
    <xf numFmtId="0" fontId="11" fillId="0" borderId="22" xfId="0" applyFont="1" applyBorder="1" applyAlignment="1">
      <alignment horizontal="center" vertical="center"/>
    </xf>
    <xf numFmtId="0" fontId="0" fillId="3" borderId="15" xfId="0" applyFill="1" applyBorder="1" applyAlignment="1">
      <alignment horizontal="center"/>
    </xf>
    <xf numFmtId="0" fontId="12" fillId="0" borderId="31" xfId="0" applyFont="1" applyBorder="1" applyAlignment="1">
      <alignment horizontal="center" wrapText="1"/>
    </xf>
    <xf numFmtId="14" fontId="0" fillId="3" borderId="0" xfId="0" applyNumberFormat="1" applyFill="1" applyBorder="1" applyAlignment="1">
      <alignment vertical="center" wrapText="1"/>
    </xf>
    <xf numFmtId="0" fontId="0" fillId="3" borderId="0" xfId="0" applyFill="1" applyBorder="1" applyAlignment="1">
      <alignment horizontal="center" vertical="center" wrapText="1"/>
    </xf>
    <xf numFmtId="0" fontId="0" fillId="3" borderId="14" xfId="0" applyFill="1" applyBorder="1" applyAlignment="1">
      <alignment horizontal="center" vertical="center" wrapText="1"/>
    </xf>
    <xf numFmtId="14" fontId="0" fillId="0" borderId="5" xfId="0" applyNumberFormat="1" applyBorder="1" applyAlignment="1">
      <alignment horizontal="center" vertical="center"/>
    </xf>
    <xf numFmtId="14" fontId="0" fillId="3" borderId="5" xfId="0" applyNumberFormat="1" applyFill="1" applyBorder="1" applyAlignment="1">
      <alignment horizontal="center" vertical="center" wrapText="1"/>
    </xf>
    <xf numFmtId="0" fontId="0" fillId="3" borderId="5" xfId="0" applyFill="1" applyBorder="1" applyAlignment="1">
      <alignment horizontal="center" vertical="center" wrapText="1"/>
    </xf>
    <xf numFmtId="0" fontId="0" fillId="3" borderId="23" xfId="0" applyFill="1" applyBorder="1" applyAlignment="1">
      <alignment horizontal="center" vertical="center" wrapText="1"/>
    </xf>
    <xf numFmtId="0" fontId="15" fillId="0" borderId="1" xfId="0" applyFont="1" applyBorder="1" applyAlignment="1">
      <alignment horizontal="center" vertical="center" wrapText="1"/>
    </xf>
    <xf numFmtId="0" fontId="0" fillId="0" borderId="22" xfId="0" applyBorder="1" applyAlignment="1">
      <alignment horizontal="center" vertical="center"/>
    </xf>
    <xf numFmtId="0" fontId="0" fillId="5" borderId="7" xfId="0" applyFill="1" applyBorder="1"/>
    <xf numFmtId="0" fontId="0" fillId="5" borderId="9" xfId="0" applyFill="1" applyBorder="1"/>
    <xf numFmtId="0" fontId="0" fillId="5" borderId="21" xfId="0" applyFill="1" applyBorder="1"/>
    <xf numFmtId="0" fontId="0" fillId="5" borderId="5" xfId="0" applyFill="1" applyBorder="1"/>
    <xf numFmtId="0" fontId="0" fillId="5" borderId="22" xfId="0" applyFill="1" applyBorder="1"/>
    <xf numFmtId="0" fontId="0" fillId="5" borderId="23" xfId="0" applyFill="1" applyBorder="1"/>
    <xf numFmtId="0" fontId="0" fillId="0" borderId="0" xfId="0" applyBorder="1"/>
    <xf numFmtId="0" fontId="18" fillId="3" borderId="32" xfId="0" applyFont="1" applyFill="1" applyBorder="1" applyAlignment="1">
      <alignment vertical="center"/>
    </xf>
    <xf numFmtId="0" fontId="18" fillId="0" borderId="32" xfId="0" applyFont="1" applyBorder="1" applyAlignment="1">
      <alignment vertical="center" wrapText="1"/>
    </xf>
    <xf numFmtId="0" fontId="18" fillId="0" borderId="32" xfId="0" applyFont="1" applyBorder="1" applyAlignment="1">
      <alignment vertical="center"/>
    </xf>
    <xf numFmtId="0" fontId="18" fillId="5" borderId="32" xfId="0" applyFont="1" applyFill="1" applyBorder="1" applyAlignment="1">
      <alignment vertical="center"/>
    </xf>
    <xf numFmtId="0" fontId="18" fillId="3" borderId="18" xfId="0" applyFont="1" applyFill="1" applyBorder="1" applyAlignment="1">
      <alignment horizontal="left" vertical="center" wrapText="1"/>
    </xf>
    <xf numFmtId="0" fontId="18" fillId="0" borderId="18" xfId="0" applyFont="1" applyBorder="1" applyAlignment="1">
      <alignment horizontal="left" vertical="center" wrapText="1"/>
    </xf>
    <xf numFmtId="0" fontId="18" fillId="5" borderId="18" xfId="0" applyFont="1" applyFill="1" applyBorder="1" applyAlignment="1">
      <alignment horizontal="left" vertical="center" wrapText="1"/>
    </xf>
    <xf numFmtId="0" fontId="0" fillId="0" borderId="31" xfId="0" applyBorder="1" applyAlignment="1">
      <alignment vertical="center"/>
    </xf>
    <xf numFmtId="0" fontId="11" fillId="0" borderId="31" xfId="0" applyFont="1" applyBorder="1" applyAlignment="1">
      <alignment vertical="center" wrapText="1"/>
    </xf>
    <xf numFmtId="0" fontId="0" fillId="0" borderId="0" xfId="0" applyAlignment="1">
      <alignment horizontal="center" vertical="center"/>
    </xf>
    <xf numFmtId="0" fontId="11" fillId="3" borderId="31" xfId="0" applyFont="1" applyFill="1" applyBorder="1" applyAlignment="1">
      <alignment vertical="center" wrapText="1"/>
    </xf>
    <xf numFmtId="0" fontId="6" fillId="7" borderId="0" xfId="0" applyFont="1" applyFill="1" applyAlignment="1">
      <alignment horizontal="center" vertical="center" wrapText="1"/>
    </xf>
    <xf numFmtId="9" fontId="11" fillId="3" borderId="31" xfId="0" applyNumberFormat="1" applyFont="1" applyFill="1" applyBorder="1" applyAlignment="1">
      <alignment horizontal="center" vertical="center" wrapText="1"/>
    </xf>
    <xf numFmtId="0" fontId="11" fillId="3" borderId="31" xfId="0" applyFont="1" applyFill="1" applyBorder="1" applyAlignment="1">
      <alignment horizontal="center" vertical="center" wrapText="1"/>
    </xf>
    <xf numFmtId="0" fontId="17" fillId="17" borderId="1" xfId="0" applyFont="1" applyFill="1" applyBorder="1" applyAlignment="1">
      <alignment horizontal="center" vertical="center"/>
    </xf>
    <xf numFmtId="0" fontId="17" fillId="18" borderId="1" xfId="0" applyFont="1" applyFill="1" applyBorder="1" applyAlignment="1">
      <alignment horizontal="center" vertical="center"/>
    </xf>
    <xf numFmtId="0" fontId="17" fillId="19" borderId="1" xfId="0" applyFont="1" applyFill="1" applyBorder="1" applyAlignment="1">
      <alignment horizontal="center" vertical="center"/>
    </xf>
    <xf numFmtId="0" fontId="17" fillId="20" borderId="1" xfId="0" applyFont="1" applyFill="1" applyBorder="1" applyAlignment="1">
      <alignment horizontal="center" vertical="center"/>
    </xf>
    <xf numFmtId="0" fontId="0" fillId="5" borderId="8" xfId="0" applyFill="1" applyBorder="1" applyAlignment="1">
      <alignment horizontal="center" vertical="center" wrapText="1"/>
    </xf>
    <xf numFmtId="0" fontId="0" fillId="5" borderId="0" xfId="0" applyFill="1" applyBorder="1" applyAlignment="1">
      <alignment horizontal="center" vertical="center" wrapText="1"/>
    </xf>
    <xf numFmtId="0" fontId="0" fillId="5" borderId="14" xfId="0" applyFill="1" applyBorder="1" applyAlignment="1">
      <alignment horizontal="center" vertical="center" wrapText="1"/>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4" xfId="0" applyFont="1" applyFill="1" applyBorder="1" applyAlignment="1">
      <alignment horizontal="center" vertical="center"/>
    </xf>
    <xf numFmtId="0" fontId="6" fillId="14" borderId="25" xfId="0" applyFont="1" applyFill="1" applyBorder="1" applyAlignment="1">
      <alignment horizontal="center"/>
    </xf>
    <xf numFmtId="0" fontId="6" fillId="14" borderId="26" xfId="0" applyFont="1" applyFill="1" applyBorder="1" applyAlignment="1">
      <alignment horizontal="center"/>
    </xf>
    <xf numFmtId="0" fontId="6" fillId="14" borderId="27" xfId="0" applyFont="1" applyFill="1" applyBorder="1" applyAlignment="1">
      <alignment horizontal="center"/>
    </xf>
    <xf numFmtId="0" fontId="5" fillId="4" borderId="30"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19" fillId="0" borderId="34" xfId="0" applyFont="1" applyBorder="1" applyAlignment="1">
      <alignment horizontal="center" vertical="center"/>
    </xf>
    <xf numFmtId="0" fontId="20" fillId="0" borderId="0" xfId="0" applyFont="1" applyAlignment="1">
      <alignment horizontal="center" vertical="center"/>
    </xf>
    <xf numFmtId="0" fontId="17" fillId="0" borderId="1" xfId="0" applyFont="1" applyBorder="1" applyAlignment="1">
      <alignment horizontal="center" vertical="center"/>
    </xf>
    <xf numFmtId="0" fontId="21" fillId="16" borderId="1"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8" xfId="0" applyFont="1" applyFill="1" applyBorder="1" applyAlignment="1">
      <alignment horizontal="center" vertical="center"/>
    </xf>
    <xf numFmtId="0" fontId="6" fillId="7" borderId="9" xfId="0" applyFont="1" applyFill="1" applyBorder="1" applyAlignment="1">
      <alignment horizontal="center" vertical="center"/>
    </xf>
    <xf numFmtId="0" fontId="1" fillId="3" borderId="6" xfId="0" applyFont="1" applyFill="1" applyBorder="1" applyAlignment="1">
      <alignment horizontal="center" vertical="center" textRotation="90"/>
    </xf>
    <xf numFmtId="0" fontId="1" fillId="3" borderId="21" xfId="0" applyFont="1" applyFill="1" applyBorder="1" applyAlignment="1">
      <alignment horizontal="center" vertical="center" textRotation="90"/>
    </xf>
    <xf numFmtId="0" fontId="1" fillId="3" borderId="22" xfId="0" applyFont="1" applyFill="1" applyBorder="1" applyAlignment="1">
      <alignment horizontal="center" vertical="center" textRotation="90"/>
    </xf>
    <xf numFmtId="0" fontId="9" fillId="7" borderId="7" xfId="0" applyFont="1" applyFill="1" applyBorder="1" applyAlignment="1">
      <alignment horizontal="center"/>
    </xf>
    <xf numFmtId="0" fontId="9" fillId="7" borderId="9" xfId="0" applyFont="1" applyFill="1" applyBorder="1" applyAlignment="1">
      <alignment horizontal="center"/>
    </xf>
    <xf numFmtId="0" fontId="7" fillId="7" borderId="7"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0" fillId="0" borderId="18" xfId="0" applyNumberFormat="1" applyFill="1" applyBorder="1" applyAlignment="1">
      <alignment horizontal="center" vertical="center"/>
    </xf>
    <xf numFmtId="0" fontId="0" fillId="0" borderId="10" xfId="0" applyNumberFormat="1" applyFill="1" applyBorder="1" applyAlignment="1">
      <alignment horizontal="center" vertical="center"/>
    </xf>
    <xf numFmtId="0" fontId="0" fillId="0" borderId="18" xfId="0" applyNumberFormat="1" applyFill="1" applyBorder="1" applyAlignment="1">
      <alignment horizontal="center" vertical="center" wrapText="1"/>
    </xf>
    <xf numFmtId="0" fontId="0" fillId="0" borderId="10" xfId="0" applyNumberFormat="1" applyFill="1" applyBorder="1" applyAlignment="1">
      <alignment horizontal="center" vertical="center" wrapText="1"/>
    </xf>
    <xf numFmtId="0" fontId="0" fillId="0" borderId="35" xfId="0" applyNumberFormat="1" applyFill="1" applyBorder="1" applyAlignment="1">
      <alignment horizontal="center" vertical="center"/>
    </xf>
    <xf numFmtId="0" fontId="0" fillId="3" borderId="35" xfId="0" applyFill="1" applyBorder="1" applyAlignment="1">
      <alignment horizontal="center" vertical="center"/>
    </xf>
    <xf numFmtId="0" fontId="0" fillId="0" borderId="35" xfId="0" applyFill="1" applyBorder="1" applyAlignment="1">
      <alignment horizontal="center" vertical="center" wrapText="1"/>
    </xf>
    <xf numFmtId="0" fontId="0" fillId="3" borderId="28" xfId="0" applyFill="1" applyBorder="1" applyAlignment="1">
      <alignment horizontal="center" vertical="center"/>
    </xf>
    <xf numFmtId="0" fontId="0" fillId="3" borderId="19" xfId="0" applyNumberFormat="1" applyFill="1" applyBorder="1" applyAlignment="1">
      <alignment horizontal="center" vertical="center"/>
    </xf>
    <xf numFmtId="0" fontId="0" fillId="3" borderId="11" xfId="0" applyNumberFormat="1" applyFill="1" applyBorder="1" applyAlignment="1">
      <alignment horizontal="center" vertical="center"/>
    </xf>
    <xf numFmtId="0" fontId="6" fillId="4" borderId="6"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11" xfId="0" applyFont="1" applyBorder="1" applyAlignment="1">
      <alignment horizontal="center" vertical="center" wrapText="1"/>
    </xf>
    <xf numFmtId="49" fontId="15" fillId="0" borderId="1" xfId="0" applyNumberFormat="1" applyFont="1" applyBorder="1" applyAlignment="1">
      <alignment horizontal="center" vertical="center" wrapText="1"/>
    </xf>
    <xf numFmtId="49" fontId="15" fillId="0" borderId="29" xfId="0" applyNumberFormat="1" applyFont="1" applyBorder="1" applyAlignment="1">
      <alignment horizontal="center" vertical="center" wrapText="1"/>
    </xf>
    <xf numFmtId="0" fontId="0" fillId="5" borderId="0" xfId="0" applyFill="1"/>
    <xf numFmtId="0" fontId="11" fillId="5" borderId="0" xfId="0" applyFont="1" applyFill="1" applyBorder="1" applyAlignment="1">
      <alignment horizontal="center" vertical="center"/>
    </xf>
    <xf numFmtId="169" fontId="0" fillId="12" borderId="23" xfId="0" applyNumberFormat="1" applyFill="1" applyBorder="1" applyAlignment="1">
      <alignment horizontal="center"/>
    </xf>
    <xf numFmtId="0" fontId="22" fillId="0" borderId="0" xfId="0" applyFont="1" applyAlignment="1">
      <alignment horizontal="center" vertical="center"/>
    </xf>
    <xf numFmtId="0" fontId="1" fillId="16" borderId="31" xfId="0" applyFont="1" applyFill="1" applyBorder="1" applyAlignment="1">
      <alignment horizontal="center" vertical="center" textRotation="90"/>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MX"/>
              <a:t>Sprint Burn Down Chart Sprint 1</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VE"/>
        </a:p>
      </c:txPr>
    </c:title>
    <c:autoTitleDeleted val="0"/>
    <c:plotArea>
      <c:layout>
        <c:manualLayout>
          <c:layoutTarget val="inner"/>
          <c:xMode val="edge"/>
          <c:yMode val="edge"/>
          <c:x val="8.3567870258003024E-2"/>
          <c:y val="0.16505119055035819"/>
          <c:w val="0.91634737783952214"/>
          <c:h val="0.754843760844219"/>
        </c:manualLayout>
      </c:layout>
      <c:lineChart>
        <c:grouping val="standard"/>
        <c:varyColors val="0"/>
        <c:ser>
          <c:idx val="0"/>
          <c:order val="0"/>
          <c:tx>
            <c:strRef>
              <c:f>'Burn Down Chart'!$L$3</c:f>
              <c:strCache>
                <c:ptCount val="1"/>
                <c:pt idx="0">
                  <c:v>Trabajo Planeado</c:v>
                </c:pt>
              </c:strCache>
            </c:strRef>
          </c:tx>
          <c:spPr>
            <a:ln w="22225" cap="rnd">
              <a:solidFill>
                <a:schemeClr val="accent1"/>
              </a:solidFill>
            </a:ln>
            <a:effectLst>
              <a:glow rad="139700">
                <a:schemeClr val="accent1">
                  <a:satMod val="175000"/>
                  <a:alpha val="14000"/>
                </a:schemeClr>
              </a:glow>
            </a:effectLst>
          </c:spPr>
          <c:marker>
            <c:symbol val="none"/>
          </c:marker>
          <c:val>
            <c:numRef>
              <c:f>'Burn Down Chart'!$L$4:$L$13</c:f>
              <c:numCache>
                <c:formatCode>General</c:formatCode>
                <c:ptCount val="10"/>
                <c:pt idx="0">
                  <c:v>40.5</c:v>
                </c:pt>
                <c:pt idx="1">
                  <c:v>36</c:v>
                </c:pt>
                <c:pt idx="2">
                  <c:v>31.5</c:v>
                </c:pt>
                <c:pt idx="3">
                  <c:v>27</c:v>
                </c:pt>
                <c:pt idx="4">
                  <c:v>22.5</c:v>
                </c:pt>
                <c:pt idx="5">
                  <c:v>18</c:v>
                </c:pt>
                <c:pt idx="6">
                  <c:v>13.5</c:v>
                </c:pt>
                <c:pt idx="7">
                  <c:v>9</c:v>
                </c:pt>
                <c:pt idx="8">
                  <c:v>4.5</c:v>
                </c:pt>
                <c:pt idx="9">
                  <c:v>0</c:v>
                </c:pt>
              </c:numCache>
            </c:numRef>
          </c:val>
          <c:smooth val="0"/>
          <c:extLst xmlns:c16r2="http://schemas.microsoft.com/office/drawing/2015/06/chart">
            <c:ext xmlns:c16="http://schemas.microsoft.com/office/drawing/2014/chart" uri="{C3380CC4-5D6E-409C-BE32-E72D297353CC}">
              <c16:uniqueId val="{00000000-A9A0-4751-8E32-96FB830BF5A0}"/>
            </c:ext>
          </c:extLst>
        </c:ser>
        <c:ser>
          <c:idx val="1"/>
          <c:order val="1"/>
          <c:tx>
            <c:strRef>
              <c:f>'Burn Down Chart'!$M$3</c:f>
              <c:strCache>
                <c:ptCount val="1"/>
                <c:pt idx="0">
                  <c:v>Trabajo Real</c:v>
                </c:pt>
              </c:strCache>
            </c:strRef>
          </c:tx>
          <c:spPr>
            <a:ln w="22225" cap="rnd">
              <a:solidFill>
                <a:schemeClr val="accent2"/>
              </a:solidFill>
            </a:ln>
            <a:effectLst>
              <a:glow rad="139700">
                <a:schemeClr val="accent2">
                  <a:satMod val="175000"/>
                  <a:alpha val="14000"/>
                </a:schemeClr>
              </a:glow>
            </a:effectLst>
          </c:spPr>
          <c:marker>
            <c:symbol val="none"/>
          </c:marker>
          <c:val>
            <c:numRef>
              <c:f>'Burn Down Chart'!$M$4:$M$13</c:f>
              <c:numCache>
                <c:formatCode>General</c:formatCode>
                <c:ptCount val="10"/>
                <c:pt idx="0">
                  <c:v>42</c:v>
                </c:pt>
                <c:pt idx="1">
                  <c:v>38</c:v>
                </c:pt>
                <c:pt idx="2">
                  <c:v>31.5</c:v>
                </c:pt>
                <c:pt idx="3">
                  <c:v>26</c:v>
                </c:pt>
                <c:pt idx="4">
                  <c:v>22.5</c:v>
                </c:pt>
                <c:pt idx="5">
                  <c:v>17</c:v>
                </c:pt>
                <c:pt idx="6">
                  <c:v>14</c:v>
                </c:pt>
                <c:pt idx="7">
                  <c:v>8</c:v>
                </c:pt>
                <c:pt idx="8">
                  <c:v>4</c:v>
                </c:pt>
                <c:pt idx="9">
                  <c:v>0</c:v>
                </c:pt>
              </c:numCache>
            </c:numRef>
          </c:val>
          <c:smooth val="0"/>
          <c:extLst xmlns:c16r2="http://schemas.microsoft.com/office/drawing/2015/06/chart">
            <c:ext xmlns:c16="http://schemas.microsoft.com/office/drawing/2014/chart" uri="{C3380CC4-5D6E-409C-BE32-E72D297353CC}">
              <c16:uniqueId val="{00000001-A9A0-4751-8E32-96FB830BF5A0}"/>
            </c:ext>
          </c:extLst>
        </c:ser>
        <c:dLbls>
          <c:showLegendKey val="0"/>
          <c:showVal val="0"/>
          <c:showCatName val="0"/>
          <c:showSerName val="0"/>
          <c:showPercent val="0"/>
          <c:showBubbleSize val="0"/>
        </c:dLbls>
        <c:smooth val="0"/>
        <c:axId val="135536272"/>
        <c:axId val="135538232"/>
      </c:lineChart>
      <c:catAx>
        <c:axId val="135536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crossAx val="135538232"/>
        <c:crosses val="autoZero"/>
        <c:auto val="1"/>
        <c:lblAlgn val="ctr"/>
        <c:lblOffset val="100"/>
        <c:noMultiLvlLbl val="0"/>
      </c:catAx>
      <c:valAx>
        <c:axId val="135538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crossAx val="13553627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MX"/>
              <a:t>Sprint Burn Down Chart Sprint 2</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VE"/>
        </a:p>
      </c:txPr>
    </c:title>
    <c:autoTitleDeleted val="0"/>
    <c:plotArea>
      <c:layout>
        <c:manualLayout>
          <c:layoutTarget val="inner"/>
          <c:xMode val="edge"/>
          <c:yMode val="edge"/>
          <c:x val="8.3567870258003024E-2"/>
          <c:y val="0.16505119055035819"/>
          <c:w val="0.91634737783952214"/>
          <c:h val="0.754843760844219"/>
        </c:manualLayout>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val>
            <c:numRef>
              <c:f>'Burn Down Chart'!$L$27:$L$36</c:f>
              <c:numCache>
                <c:formatCode>General</c:formatCode>
                <c:ptCount val="10"/>
                <c:pt idx="0">
                  <c:v>36</c:v>
                </c:pt>
                <c:pt idx="1">
                  <c:v>32</c:v>
                </c:pt>
                <c:pt idx="2">
                  <c:v>28</c:v>
                </c:pt>
                <c:pt idx="3">
                  <c:v>24</c:v>
                </c:pt>
                <c:pt idx="4">
                  <c:v>20</c:v>
                </c:pt>
                <c:pt idx="5">
                  <c:v>16</c:v>
                </c:pt>
                <c:pt idx="6">
                  <c:v>12</c:v>
                </c:pt>
                <c:pt idx="7">
                  <c:v>8</c:v>
                </c:pt>
                <c:pt idx="8">
                  <c:v>4</c:v>
                </c:pt>
                <c:pt idx="9">
                  <c:v>0</c:v>
                </c:pt>
              </c:numCache>
            </c:numRef>
          </c:val>
          <c:smooth val="0"/>
          <c:extLst xmlns:c16r2="http://schemas.microsoft.com/office/drawing/2015/06/chart">
            <c:ext xmlns:c16="http://schemas.microsoft.com/office/drawing/2014/chart" uri="{C3380CC4-5D6E-409C-BE32-E72D297353CC}">
              <c16:uniqueId val="{00000000-A9A0-4751-8E32-96FB830BF5A0}"/>
            </c:ext>
          </c:extLst>
        </c:ser>
        <c:ser>
          <c:idx val="1"/>
          <c:order val="1"/>
          <c:spPr>
            <a:ln w="22225" cap="rnd">
              <a:solidFill>
                <a:schemeClr val="accent2"/>
              </a:solidFill>
            </a:ln>
            <a:effectLst>
              <a:glow rad="139700">
                <a:schemeClr val="accent2">
                  <a:satMod val="175000"/>
                  <a:alpha val="14000"/>
                </a:schemeClr>
              </a:glow>
            </a:effectLst>
          </c:spPr>
          <c:marker>
            <c:symbol val="none"/>
          </c:marker>
          <c:val>
            <c:numRef>
              <c:f>'Burn Down Chart'!$M$27:$M$36</c:f>
              <c:numCache>
                <c:formatCode>General</c:formatCode>
                <c:ptCount val="10"/>
                <c:pt idx="0">
                  <c:v>36</c:v>
                </c:pt>
                <c:pt idx="1">
                  <c:v>33</c:v>
                </c:pt>
                <c:pt idx="2">
                  <c:v>28</c:v>
                </c:pt>
                <c:pt idx="3">
                  <c:v>25</c:v>
                </c:pt>
                <c:pt idx="4">
                  <c:v>20</c:v>
                </c:pt>
                <c:pt idx="5">
                  <c:v>16</c:v>
                </c:pt>
                <c:pt idx="6">
                  <c:v>11</c:v>
                </c:pt>
                <c:pt idx="7">
                  <c:v>8.5</c:v>
                </c:pt>
                <c:pt idx="8">
                  <c:v>4</c:v>
                </c:pt>
                <c:pt idx="9">
                  <c:v>0</c:v>
                </c:pt>
              </c:numCache>
            </c:numRef>
          </c:val>
          <c:smooth val="0"/>
          <c:extLst xmlns:c16r2="http://schemas.microsoft.com/office/drawing/2015/06/chart">
            <c:ext xmlns:c16="http://schemas.microsoft.com/office/drawing/2014/chart" uri="{C3380CC4-5D6E-409C-BE32-E72D297353CC}">
              <c16:uniqueId val="{00000001-A9A0-4751-8E32-96FB830BF5A0}"/>
            </c:ext>
          </c:extLst>
        </c:ser>
        <c:dLbls>
          <c:showLegendKey val="0"/>
          <c:showVal val="0"/>
          <c:showCatName val="0"/>
          <c:showSerName val="0"/>
          <c:showPercent val="0"/>
          <c:showBubbleSize val="0"/>
        </c:dLbls>
        <c:smooth val="0"/>
        <c:axId val="403541536"/>
        <c:axId val="403540752"/>
      </c:lineChart>
      <c:catAx>
        <c:axId val="403541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crossAx val="403540752"/>
        <c:crosses val="autoZero"/>
        <c:auto val="1"/>
        <c:lblAlgn val="ctr"/>
        <c:lblOffset val="100"/>
        <c:noMultiLvlLbl val="0"/>
      </c:catAx>
      <c:valAx>
        <c:axId val="403540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crossAx val="40354153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MX"/>
              <a:t>Sprint Burn Down Chart Sprint 3</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VE"/>
        </a:p>
      </c:txPr>
    </c:title>
    <c:autoTitleDeleted val="0"/>
    <c:plotArea>
      <c:layout>
        <c:manualLayout>
          <c:layoutTarget val="inner"/>
          <c:xMode val="edge"/>
          <c:yMode val="edge"/>
          <c:x val="8.3567870258003024E-2"/>
          <c:y val="0.16505119055035819"/>
          <c:w val="0.91634737783952214"/>
          <c:h val="0.754843760844219"/>
        </c:manualLayout>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val>
            <c:numRef>
              <c:f>'Burn Down Chart'!$L$50:$L$59</c:f>
              <c:numCache>
                <c:formatCode>General</c:formatCode>
                <c:ptCount val="10"/>
                <c:pt idx="0">
                  <c:v>40.5</c:v>
                </c:pt>
                <c:pt idx="1">
                  <c:v>36</c:v>
                </c:pt>
                <c:pt idx="2">
                  <c:v>31.5</c:v>
                </c:pt>
                <c:pt idx="3">
                  <c:v>27</c:v>
                </c:pt>
                <c:pt idx="4">
                  <c:v>22.5</c:v>
                </c:pt>
                <c:pt idx="5">
                  <c:v>18</c:v>
                </c:pt>
                <c:pt idx="6">
                  <c:v>13.5</c:v>
                </c:pt>
                <c:pt idx="7">
                  <c:v>9</c:v>
                </c:pt>
                <c:pt idx="8">
                  <c:v>4.5</c:v>
                </c:pt>
                <c:pt idx="9">
                  <c:v>0</c:v>
                </c:pt>
              </c:numCache>
            </c:numRef>
          </c:val>
          <c:smooth val="0"/>
          <c:extLst xmlns:c16r2="http://schemas.microsoft.com/office/drawing/2015/06/chart">
            <c:ext xmlns:c16="http://schemas.microsoft.com/office/drawing/2014/chart" uri="{C3380CC4-5D6E-409C-BE32-E72D297353CC}">
              <c16:uniqueId val="{00000000-A9A0-4751-8E32-96FB830BF5A0}"/>
            </c:ext>
          </c:extLst>
        </c:ser>
        <c:ser>
          <c:idx val="1"/>
          <c:order val="1"/>
          <c:spPr>
            <a:ln w="22225" cap="rnd">
              <a:solidFill>
                <a:schemeClr val="accent2"/>
              </a:solidFill>
            </a:ln>
            <a:effectLst>
              <a:glow rad="139700">
                <a:schemeClr val="accent2">
                  <a:satMod val="175000"/>
                  <a:alpha val="14000"/>
                </a:schemeClr>
              </a:glow>
            </a:effectLst>
          </c:spPr>
          <c:marker>
            <c:symbol val="none"/>
          </c:marker>
          <c:val>
            <c:numRef>
              <c:f>'Burn Down Chart'!$M$50:$M$59</c:f>
              <c:numCache>
                <c:formatCode>General</c:formatCode>
                <c:ptCount val="10"/>
                <c:pt idx="0">
                  <c:v>43</c:v>
                </c:pt>
                <c:pt idx="1">
                  <c:v>38</c:v>
                </c:pt>
                <c:pt idx="2">
                  <c:v>31.5</c:v>
                </c:pt>
                <c:pt idx="3">
                  <c:v>28</c:v>
                </c:pt>
                <c:pt idx="4">
                  <c:v>22.5</c:v>
                </c:pt>
                <c:pt idx="5">
                  <c:v>20</c:v>
                </c:pt>
                <c:pt idx="6">
                  <c:v>13.5</c:v>
                </c:pt>
                <c:pt idx="7">
                  <c:v>7</c:v>
                </c:pt>
                <c:pt idx="8">
                  <c:v>4.5</c:v>
                </c:pt>
                <c:pt idx="9">
                  <c:v>0</c:v>
                </c:pt>
              </c:numCache>
            </c:numRef>
          </c:val>
          <c:smooth val="0"/>
          <c:extLst xmlns:c16r2="http://schemas.microsoft.com/office/drawing/2015/06/chart">
            <c:ext xmlns:c16="http://schemas.microsoft.com/office/drawing/2014/chart" uri="{C3380CC4-5D6E-409C-BE32-E72D297353CC}">
              <c16:uniqueId val="{00000001-A9A0-4751-8E32-96FB830BF5A0}"/>
            </c:ext>
          </c:extLst>
        </c:ser>
        <c:dLbls>
          <c:showLegendKey val="0"/>
          <c:showVal val="0"/>
          <c:showCatName val="0"/>
          <c:showSerName val="0"/>
          <c:showPercent val="0"/>
          <c:showBubbleSize val="0"/>
        </c:dLbls>
        <c:smooth val="0"/>
        <c:axId val="404624408"/>
        <c:axId val="404616960"/>
      </c:lineChart>
      <c:catAx>
        <c:axId val="404624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crossAx val="404616960"/>
        <c:crosses val="autoZero"/>
        <c:auto val="1"/>
        <c:lblAlgn val="ctr"/>
        <c:lblOffset val="100"/>
        <c:noMultiLvlLbl val="0"/>
      </c:catAx>
      <c:valAx>
        <c:axId val="404616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crossAx val="40462440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MX"/>
              <a:t>Sprint Burn Down Chart Sprint 4</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VE"/>
        </a:p>
      </c:txPr>
    </c:title>
    <c:autoTitleDeleted val="0"/>
    <c:plotArea>
      <c:layout>
        <c:manualLayout>
          <c:layoutTarget val="inner"/>
          <c:xMode val="edge"/>
          <c:yMode val="edge"/>
          <c:x val="8.3567870258003024E-2"/>
          <c:y val="0.16505119055035819"/>
          <c:w val="0.91634737783952214"/>
          <c:h val="0.754843760844219"/>
        </c:manualLayout>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val>
            <c:numRef>
              <c:f>'Burn Down Chart'!$L$73:$L$82</c:f>
              <c:numCache>
                <c:formatCode>General</c:formatCode>
                <c:ptCount val="10"/>
                <c:pt idx="0">
                  <c:v>36</c:v>
                </c:pt>
                <c:pt idx="1">
                  <c:v>32</c:v>
                </c:pt>
                <c:pt idx="2">
                  <c:v>28</c:v>
                </c:pt>
                <c:pt idx="3">
                  <c:v>24</c:v>
                </c:pt>
                <c:pt idx="4">
                  <c:v>20</c:v>
                </c:pt>
                <c:pt idx="5">
                  <c:v>16</c:v>
                </c:pt>
                <c:pt idx="6">
                  <c:v>12</c:v>
                </c:pt>
                <c:pt idx="7">
                  <c:v>8</c:v>
                </c:pt>
                <c:pt idx="8">
                  <c:v>4</c:v>
                </c:pt>
                <c:pt idx="9">
                  <c:v>0</c:v>
                </c:pt>
              </c:numCache>
            </c:numRef>
          </c:val>
          <c:smooth val="0"/>
          <c:extLst xmlns:c16r2="http://schemas.microsoft.com/office/drawing/2015/06/chart">
            <c:ext xmlns:c16="http://schemas.microsoft.com/office/drawing/2014/chart" uri="{C3380CC4-5D6E-409C-BE32-E72D297353CC}">
              <c16:uniqueId val="{00000000-A9A0-4751-8E32-96FB830BF5A0}"/>
            </c:ext>
          </c:extLst>
        </c:ser>
        <c:ser>
          <c:idx val="1"/>
          <c:order val="1"/>
          <c:spPr>
            <a:ln w="22225" cap="rnd">
              <a:solidFill>
                <a:schemeClr val="accent2"/>
              </a:solidFill>
            </a:ln>
            <a:effectLst>
              <a:glow rad="139700">
                <a:schemeClr val="accent2">
                  <a:satMod val="175000"/>
                  <a:alpha val="14000"/>
                </a:schemeClr>
              </a:glow>
            </a:effectLst>
          </c:spPr>
          <c:marker>
            <c:symbol val="none"/>
          </c:marker>
          <c:val>
            <c:numRef>
              <c:f>'Burn Down Chart'!$M$73:$M$82</c:f>
              <c:numCache>
                <c:formatCode>General</c:formatCode>
                <c:ptCount val="10"/>
                <c:pt idx="0">
                  <c:v>36</c:v>
                </c:pt>
                <c:pt idx="1">
                  <c:v>31</c:v>
                </c:pt>
                <c:pt idx="2">
                  <c:v>28</c:v>
                </c:pt>
                <c:pt idx="3">
                  <c:v>22</c:v>
                </c:pt>
                <c:pt idx="4">
                  <c:v>20</c:v>
                </c:pt>
                <c:pt idx="5">
                  <c:v>16</c:v>
                </c:pt>
                <c:pt idx="6">
                  <c:v>13</c:v>
                </c:pt>
                <c:pt idx="7">
                  <c:v>8</c:v>
                </c:pt>
                <c:pt idx="8">
                  <c:v>3.5</c:v>
                </c:pt>
                <c:pt idx="9">
                  <c:v>0</c:v>
                </c:pt>
              </c:numCache>
            </c:numRef>
          </c:val>
          <c:smooth val="0"/>
          <c:extLst xmlns:c16r2="http://schemas.microsoft.com/office/drawing/2015/06/chart">
            <c:ext xmlns:c16="http://schemas.microsoft.com/office/drawing/2014/chart" uri="{C3380CC4-5D6E-409C-BE32-E72D297353CC}">
              <c16:uniqueId val="{00000001-A9A0-4751-8E32-96FB830BF5A0}"/>
            </c:ext>
          </c:extLst>
        </c:ser>
        <c:dLbls>
          <c:showLegendKey val="0"/>
          <c:showVal val="0"/>
          <c:showCatName val="0"/>
          <c:showSerName val="0"/>
          <c:showPercent val="0"/>
          <c:showBubbleSize val="0"/>
        </c:dLbls>
        <c:smooth val="0"/>
        <c:axId val="400747824"/>
        <c:axId val="400748608"/>
      </c:lineChart>
      <c:catAx>
        <c:axId val="4007478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crossAx val="400748608"/>
        <c:crosses val="autoZero"/>
        <c:auto val="1"/>
        <c:lblAlgn val="ctr"/>
        <c:lblOffset val="100"/>
        <c:noMultiLvlLbl val="0"/>
      </c:catAx>
      <c:valAx>
        <c:axId val="400748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crossAx val="40074782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VE"/>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449234</xdr:colOff>
      <xdr:row>1</xdr:row>
      <xdr:rowOff>59332</xdr:rowOff>
    </xdr:from>
    <xdr:to>
      <xdr:col>9</xdr:col>
      <xdr:colOff>295275</xdr:colOff>
      <xdr:row>20</xdr:row>
      <xdr:rowOff>85726</xdr:rowOff>
    </xdr:to>
    <xdr:graphicFrame macro="">
      <xdr:nvGraphicFramePr>
        <xdr:cNvPr id="5" name="Gráfico 4">
          <a:extLst>
            <a:ext uri="{FF2B5EF4-FFF2-40B4-BE49-F238E27FC236}">
              <a16:creationId xmlns:a16="http://schemas.microsoft.com/office/drawing/2014/main" xmlns=""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449234</xdr:colOff>
      <xdr:row>24</xdr:row>
      <xdr:rowOff>59332</xdr:rowOff>
    </xdr:from>
    <xdr:to>
      <xdr:col>9</xdr:col>
      <xdr:colOff>295275</xdr:colOff>
      <xdr:row>43</xdr:row>
      <xdr:rowOff>85726</xdr:rowOff>
    </xdr:to>
    <xdr:graphicFrame macro="">
      <xdr:nvGraphicFramePr>
        <xdr:cNvPr id="3" name="Gráfico 2">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449234</xdr:colOff>
      <xdr:row>47</xdr:row>
      <xdr:rowOff>59332</xdr:rowOff>
    </xdr:from>
    <xdr:to>
      <xdr:col>9</xdr:col>
      <xdr:colOff>295275</xdr:colOff>
      <xdr:row>66</xdr:row>
      <xdr:rowOff>85726</xdr:rowOff>
    </xdr:to>
    <xdr:graphicFrame macro="">
      <xdr:nvGraphicFramePr>
        <xdr:cNvPr id="4" name="Gráfico 3">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449234</xdr:colOff>
      <xdr:row>70</xdr:row>
      <xdr:rowOff>59332</xdr:rowOff>
    </xdr:from>
    <xdr:to>
      <xdr:col>9</xdr:col>
      <xdr:colOff>295275</xdr:colOff>
      <xdr:row>89</xdr:row>
      <xdr:rowOff>85726</xdr:rowOff>
    </xdr:to>
    <xdr:graphicFrame macro="">
      <xdr:nvGraphicFramePr>
        <xdr:cNvPr id="6" name="Gráfico 5">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iego Ochoa" id="{26FADF58-0841-4A3F-B683-0FC129CFAB60}" userId="S::dochoa@kzi.mx::4db8a789-95c4-46ea-83fb-71bdb7b3312f"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19-11-26T01:51:33.73" personId="{26FADF58-0841-4A3F-B683-0FC129CFAB60}" id="{7AD4058E-1BEC-43D3-ABE3-53AE79696D00}">
    <text>Impedimiento o Riesgo</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tabSelected="1" zoomScale="110" zoomScaleNormal="110" workbookViewId="0">
      <selection sqref="A1:M1"/>
    </sheetView>
  </sheetViews>
  <sheetFormatPr baseColWidth="10" defaultColWidth="11.42578125" defaultRowHeight="15" x14ac:dyDescent="0.25"/>
  <cols>
    <col min="1" max="1" width="3.42578125" customWidth="1"/>
    <col min="13" max="13" width="3.42578125" customWidth="1"/>
  </cols>
  <sheetData>
    <row r="1" spans="1:13" ht="24" customHeight="1" thickBot="1" x14ac:dyDescent="0.3">
      <c r="A1" s="114" t="s">
        <v>94</v>
      </c>
      <c r="B1" s="115"/>
      <c r="C1" s="115"/>
      <c r="D1" s="115"/>
      <c r="E1" s="115"/>
      <c r="F1" s="115"/>
      <c r="G1" s="115"/>
      <c r="H1" s="115"/>
      <c r="I1" s="115"/>
      <c r="J1" s="115"/>
      <c r="K1" s="115"/>
      <c r="L1" s="115"/>
      <c r="M1" s="116"/>
    </row>
    <row r="2" spans="1:13" ht="125.25" customHeight="1" x14ac:dyDescent="0.25">
      <c r="A2" s="86"/>
      <c r="B2" s="111" t="s">
        <v>95</v>
      </c>
      <c r="C2" s="111"/>
      <c r="D2" s="111"/>
      <c r="E2" s="111"/>
      <c r="F2" s="111"/>
      <c r="G2" s="111"/>
      <c r="H2" s="111"/>
      <c r="I2" s="111"/>
      <c r="J2" s="111"/>
      <c r="K2" s="111"/>
      <c r="L2" s="111"/>
      <c r="M2" s="87"/>
    </row>
    <row r="3" spans="1:13" ht="125.25" customHeight="1" x14ac:dyDescent="0.25">
      <c r="A3" s="88"/>
      <c r="B3" s="112"/>
      <c r="C3" s="112"/>
      <c r="D3" s="112"/>
      <c r="E3" s="112"/>
      <c r="F3" s="112"/>
      <c r="G3" s="112"/>
      <c r="H3" s="112"/>
      <c r="I3" s="112"/>
      <c r="J3" s="112"/>
      <c r="K3" s="112"/>
      <c r="L3" s="112"/>
      <c r="M3" s="89"/>
    </row>
    <row r="4" spans="1:13" ht="125.25" customHeight="1" x14ac:dyDescent="0.25">
      <c r="A4" s="88"/>
      <c r="B4" s="112"/>
      <c r="C4" s="112"/>
      <c r="D4" s="112"/>
      <c r="E4" s="112"/>
      <c r="F4" s="112"/>
      <c r="G4" s="112"/>
      <c r="H4" s="112"/>
      <c r="I4" s="112"/>
      <c r="J4" s="112"/>
      <c r="K4" s="112"/>
      <c r="L4" s="112"/>
      <c r="M4" s="89"/>
    </row>
    <row r="5" spans="1:13" ht="125.25" customHeight="1" thickBot="1" x14ac:dyDescent="0.3">
      <c r="A5" s="90"/>
      <c r="B5" s="113"/>
      <c r="C5" s="113"/>
      <c r="D5" s="113"/>
      <c r="E5" s="113"/>
      <c r="F5" s="113"/>
      <c r="G5" s="113"/>
      <c r="H5" s="113"/>
      <c r="I5" s="113"/>
      <c r="J5" s="113"/>
      <c r="K5" s="113"/>
      <c r="L5" s="113"/>
      <c r="M5" s="91"/>
    </row>
  </sheetData>
  <mergeCells count="2">
    <mergeCell ref="B2:L5"/>
    <mergeCell ref="A1:M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dimension ref="A1:B12"/>
  <sheetViews>
    <sheetView showGridLines="0" zoomScale="110" zoomScaleNormal="110" workbookViewId="0">
      <selection activeCell="B11" sqref="B11"/>
    </sheetView>
  </sheetViews>
  <sheetFormatPr baseColWidth="10" defaultColWidth="11.42578125" defaultRowHeight="15" x14ac:dyDescent="0.25"/>
  <cols>
    <col min="1" max="1" width="27.5703125" customWidth="1"/>
    <col min="2" max="2" width="90.140625" customWidth="1"/>
  </cols>
  <sheetData>
    <row r="1" spans="1:2" ht="21" x14ac:dyDescent="0.25">
      <c r="A1" s="117" t="s">
        <v>0</v>
      </c>
      <c r="B1" s="117"/>
    </row>
    <row r="2" spans="1:2" ht="50.1" customHeight="1" x14ac:dyDescent="0.25">
      <c r="A2" s="93" t="s">
        <v>1</v>
      </c>
      <c r="B2" s="97" t="s">
        <v>96</v>
      </c>
    </row>
    <row r="3" spans="1:2" ht="64.5" customHeight="1" x14ac:dyDescent="0.25">
      <c r="A3" s="94" t="s">
        <v>2</v>
      </c>
      <c r="B3" s="98" t="s">
        <v>97</v>
      </c>
    </row>
    <row r="4" spans="1:2" ht="50.1" customHeight="1" x14ac:dyDescent="0.25">
      <c r="A4" s="93" t="s">
        <v>3</v>
      </c>
      <c r="B4" s="97" t="s">
        <v>98</v>
      </c>
    </row>
    <row r="5" spans="1:2" ht="72" customHeight="1" x14ac:dyDescent="0.25">
      <c r="A5" s="95" t="s">
        <v>4</v>
      </c>
      <c r="B5" s="98" t="s">
        <v>99</v>
      </c>
    </row>
    <row r="6" spans="1:2" ht="50.1" customHeight="1" x14ac:dyDescent="0.25">
      <c r="A6" s="93" t="s">
        <v>5</v>
      </c>
      <c r="B6" s="97" t="s">
        <v>100</v>
      </c>
    </row>
    <row r="7" spans="1:2" ht="63" customHeight="1" x14ac:dyDescent="0.25">
      <c r="A7" s="96" t="s">
        <v>6</v>
      </c>
      <c r="B7" s="99" t="s">
        <v>101</v>
      </c>
    </row>
    <row r="12" spans="1:2" x14ac:dyDescent="0.25">
      <c r="A12" s="92"/>
      <c r="B12" s="92"/>
    </row>
  </sheetData>
  <mergeCells count="1">
    <mergeCell ref="A1:B1"/>
  </mergeCells>
  <pageMargins left="0.7" right="0.7" top="0.75" bottom="0.75" header="0.3" footer="0.3"/>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zoomScale="110" zoomScaleNormal="110" workbookViewId="0">
      <pane ySplit="2" topLeftCell="A3" activePane="bottomLeft" state="frozen"/>
      <selection pane="bottomLeft" activeCell="B3" sqref="B3"/>
    </sheetView>
  </sheetViews>
  <sheetFormatPr baseColWidth="10" defaultColWidth="11.42578125" defaultRowHeight="15" x14ac:dyDescent="0.25"/>
  <cols>
    <col min="1" max="1" width="12.42578125" customWidth="1"/>
    <col min="2" max="2" width="24.7109375" customWidth="1"/>
    <col min="3" max="3" width="24.42578125" customWidth="1"/>
    <col min="4" max="4" width="13.42578125" bestFit="1" customWidth="1"/>
    <col min="5" max="5" width="33.7109375" customWidth="1"/>
    <col min="6" max="6" width="29.28515625" customWidth="1"/>
    <col min="7" max="7" width="27.28515625" customWidth="1"/>
    <col min="8" max="8" width="17" customWidth="1"/>
    <col min="9" max="9" width="14.5703125" customWidth="1"/>
    <col min="10" max="10" width="14.7109375" customWidth="1"/>
  </cols>
  <sheetData>
    <row r="1" spans="1:10" s="56" customFormat="1" ht="27" customHeight="1" x14ac:dyDescent="0.25">
      <c r="A1" s="117" t="s">
        <v>16</v>
      </c>
      <c r="B1" s="117"/>
      <c r="C1" s="117"/>
      <c r="D1" s="117"/>
      <c r="E1" s="117"/>
      <c r="F1" s="117"/>
      <c r="G1" s="117"/>
      <c r="H1" s="117"/>
      <c r="I1" s="117"/>
      <c r="J1" s="117"/>
    </row>
    <row r="2" spans="1:10" ht="31.5" customHeight="1" thickBot="1" x14ac:dyDescent="0.3">
      <c r="A2" s="28"/>
      <c r="B2" s="28" t="s">
        <v>8</v>
      </c>
      <c r="C2" s="28" t="s">
        <v>9</v>
      </c>
      <c r="D2" s="28" t="s">
        <v>10</v>
      </c>
      <c r="E2" s="28" t="s">
        <v>11</v>
      </c>
      <c r="F2" s="28" t="s">
        <v>12</v>
      </c>
      <c r="G2" s="28" t="s">
        <v>13</v>
      </c>
      <c r="H2" s="28" t="s">
        <v>102</v>
      </c>
      <c r="I2" s="104" t="s">
        <v>144</v>
      </c>
      <c r="J2" s="104" t="s">
        <v>145</v>
      </c>
    </row>
    <row r="3" spans="1:10" s="60" customFormat="1" ht="51.75" thickBot="1" x14ac:dyDescent="0.3">
      <c r="A3" s="159" t="s">
        <v>73</v>
      </c>
      <c r="B3" s="103" t="s">
        <v>103</v>
      </c>
      <c r="C3" s="103" t="s">
        <v>71</v>
      </c>
      <c r="D3" s="106" t="s">
        <v>14</v>
      </c>
      <c r="E3" s="103" t="s">
        <v>104</v>
      </c>
      <c r="F3" s="103" t="s">
        <v>105</v>
      </c>
      <c r="G3" s="103" t="s">
        <v>106</v>
      </c>
      <c r="H3" s="103" t="s">
        <v>107</v>
      </c>
      <c r="I3" s="103" t="s">
        <v>108</v>
      </c>
      <c r="J3" s="105">
        <v>1</v>
      </c>
    </row>
    <row r="4" spans="1:10" s="60" customFormat="1" ht="51.75" thickBot="1" x14ac:dyDescent="0.3">
      <c r="A4" s="159"/>
      <c r="B4" s="101" t="s">
        <v>70</v>
      </c>
      <c r="C4" s="101" t="s">
        <v>143</v>
      </c>
      <c r="D4" s="57" t="s">
        <v>14</v>
      </c>
      <c r="E4" s="101" t="s">
        <v>109</v>
      </c>
      <c r="F4" s="101" t="s">
        <v>110</v>
      </c>
      <c r="G4" s="101" t="s">
        <v>111</v>
      </c>
      <c r="H4" s="101" t="s">
        <v>112</v>
      </c>
      <c r="I4" s="101" t="s">
        <v>113</v>
      </c>
      <c r="J4" s="58">
        <v>1</v>
      </c>
    </row>
    <row r="5" spans="1:10" s="60" customFormat="1" ht="39" thickBot="1" x14ac:dyDescent="0.3">
      <c r="A5" s="100"/>
      <c r="B5" s="103" t="s">
        <v>114</v>
      </c>
      <c r="C5" s="103" t="s">
        <v>115</v>
      </c>
      <c r="D5" s="106" t="s">
        <v>14</v>
      </c>
      <c r="E5" s="103" t="s">
        <v>116</v>
      </c>
      <c r="F5" s="103" t="s">
        <v>117</v>
      </c>
      <c r="G5" s="103" t="s">
        <v>118</v>
      </c>
      <c r="H5" s="103" t="s">
        <v>107</v>
      </c>
      <c r="I5" s="103" t="s">
        <v>108</v>
      </c>
      <c r="J5" s="105">
        <v>1</v>
      </c>
    </row>
    <row r="6" spans="1:10" s="60" customFormat="1" ht="39" thickBot="1" x14ac:dyDescent="0.3">
      <c r="A6" s="100"/>
      <c r="B6" s="101" t="s">
        <v>119</v>
      </c>
      <c r="C6" s="101" t="s">
        <v>115</v>
      </c>
      <c r="D6" s="57" t="s">
        <v>14</v>
      </c>
      <c r="E6" s="101" t="s">
        <v>120</v>
      </c>
      <c r="F6" s="101" t="s">
        <v>117</v>
      </c>
      <c r="G6" s="101" t="s">
        <v>121</v>
      </c>
      <c r="H6" s="101" t="s">
        <v>107</v>
      </c>
      <c r="I6" s="101" t="s">
        <v>108</v>
      </c>
      <c r="J6" s="58">
        <v>1</v>
      </c>
    </row>
    <row r="7" spans="1:10" s="60" customFormat="1" ht="39" thickBot="1" x14ac:dyDescent="0.3">
      <c r="A7" s="100"/>
      <c r="B7" s="103" t="s">
        <v>122</v>
      </c>
      <c r="C7" s="103" t="s">
        <v>123</v>
      </c>
      <c r="D7" s="106" t="s">
        <v>14</v>
      </c>
      <c r="E7" s="103" t="s">
        <v>124</v>
      </c>
      <c r="F7" s="103" t="s">
        <v>117</v>
      </c>
      <c r="G7" s="103" t="s">
        <v>125</v>
      </c>
      <c r="H7" s="103" t="s">
        <v>107</v>
      </c>
      <c r="I7" s="103" t="s">
        <v>108</v>
      </c>
      <c r="J7" s="105">
        <v>1</v>
      </c>
    </row>
    <row r="8" spans="1:10" s="60" customFormat="1" ht="39" thickBot="1" x14ac:dyDescent="0.3">
      <c r="A8" s="100"/>
      <c r="B8" s="101" t="s">
        <v>126</v>
      </c>
      <c r="C8" s="101" t="s">
        <v>127</v>
      </c>
      <c r="D8" s="57" t="s">
        <v>14</v>
      </c>
      <c r="E8" s="101" t="s">
        <v>128</v>
      </c>
      <c r="F8" s="101" t="s">
        <v>129</v>
      </c>
      <c r="G8" s="101" t="s">
        <v>130</v>
      </c>
      <c r="H8" s="101" t="s">
        <v>107</v>
      </c>
      <c r="I8" s="101" t="s">
        <v>108</v>
      </c>
      <c r="J8" s="58">
        <v>1</v>
      </c>
    </row>
    <row r="9" spans="1:10" s="60" customFormat="1" ht="39" thickBot="1" x14ac:dyDescent="0.3">
      <c r="A9" s="100"/>
      <c r="B9" s="103" t="s">
        <v>131</v>
      </c>
      <c r="C9" s="103" t="s">
        <v>132</v>
      </c>
      <c r="D9" s="106" t="s">
        <v>14</v>
      </c>
      <c r="E9" s="103" t="s">
        <v>133</v>
      </c>
      <c r="F9" s="103" t="s">
        <v>129</v>
      </c>
      <c r="G9" s="103" t="s">
        <v>134</v>
      </c>
      <c r="H9" s="103" t="s">
        <v>107</v>
      </c>
      <c r="I9" s="103" t="s">
        <v>108</v>
      </c>
      <c r="J9" s="105">
        <v>1</v>
      </c>
    </row>
    <row r="10" spans="1:10" s="60" customFormat="1" ht="39" thickBot="1" x14ac:dyDescent="0.3">
      <c r="A10" s="100"/>
      <c r="B10" s="101" t="s">
        <v>135</v>
      </c>
      <c r="C10" s="101" t="s">
        <v>136</v>
      </c>
      <c r="D10" s="57" t="s">
        <v>14</v>
      </c>
      <c r="E10" s="101" t="s">
        <v>137</v>
      </c>
      <c r="F10" s="101" t="s">
        <v>129</v>
      </c>
      <c r="G10" s="101" t="s">
        <v>138</v>
      </c>
      <c r="H10" s="101" t="s">
        <v>107</v>
      </c>
      <c r="I10" s="101" t="s">
        <v>108</v>
      </c>
      <c r="J10" s="58">
        <v>1</v>
      </c>
    </row>
    <row r="11" spans="1:10" s="60" customFormat="1" ht="39" thickBot="1" x14ac:dyDescent="0.3">
      <c r="A11" s="100"/>
      <c r="B11" s="103" t="s">
        <v>139</v>
      </c>
      <c r="C11" s="103" t="s">
        <v>140</v>
      </c>
      <c r="D11" s="106" t="s">
        <v>15</v>
      </c>
      <c r="E11" s="103" t="s">
        <v>141</v>
      </c>
      <c r="F11" s="103" t="s">
        <v>142</v>
      </c>
      <c r="G11" s="103"/>
      <c r="H11" s="103"/>
      <c r="I11" s="103" t="s">
        <v>72</v>
      </c>
      <c r="J11" s="105" t="s">
        <v>72</v>
      </c>
    </row>
    <row r="12" spans="1:10" x14ac:dyDescent="0.25">
      <c r="B12" s="2"/>
      <c r="C12" s="2"/>
      <c r="D12" s="2"/>
      <c r="E12" s="32"/>
      <c r="F12" s="2"/>
    </row>
  </sheetData>
  <mergeCells count="2">
    <mergeCell ref="A1:J1"/>
    <mergeCell ref="A3: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K21"/>
  <sheetViews>
    <sheetView showGridLines="0" zoomScale="90" zoomScaleNormal="90" workbookViewId="0">
      <pane xSplit="1" ySplit="3" topLeftCell="B4" activePane="bottomRight" state="frozen"/>
      <selection pane="topRight" activeCell="B1" sqref="B1"/>
      <selection pane="bottomLeft" activeCell="A2" sqref="A2"/>
      <selection pane="bottomRight" activeCell="B4" sqref="B4"/>
    </sheetView>
  </sheetViews>
  <sheetFormatPr baseColWidth="10" defaultColWidth="11.42578125" defaultRowHeight="15" x14ac:dyDescent="0.25"/>
  <cols>
    <col min="1" max="1" width="5.7109375" customWidth="1"/>
    <col min="2" max="2" width="7.85546875" customWidth="1"/>
    <col min="3" max="3" width="9.140625" customWidth="1"/>
    <col min="4" max="4" width="8.7109375" customWidth="1"/>
    <col min="5" max="5" width="12.7109375" customWidth="1"/>
    <col min="6" max="6" width="30" customWidth="1"/>
    <col min="7" max="7" width="37.7109375" customWidth="1"/>
    <col min="8" max="8" width="19.140625" customWidth="1"/>
    <col min="9" max="9" width="18.5703125" customWidth="1"/>
    <col min="10" max="10" width="22" customWidth="1"/>
    <col min="11" max="11" width="52.28515625" customWidth="1"/>
  </cols>
  <sheetData>
    <row r="1" spans="1:11" x14ac:dyDescent="0.25">
      <c r="E1" s="118" t="s">
        <v>17</v>
      </c>
      <c r="F1" s="119"/>
      <c r="G1" s="119"/>
      <c r="H1" s="119"/>
      <c r="I1" s="120"/>
    </row>
    <row r="2" spans="1:11" ht="21" x14ac:dyDescent="0.25">
      <c r="A2" s="121" t="s">
        <v>7</v>
      </c>
      <c r="B2" s="121"/>
      <c r="C2" s="121"/>
      <c r="D2" s="121"/>
      <c r="E2" s="121"/>
      <c r="F2" s="121"/>
      <c r="G2" s="121"/>
      <c r="H2" s="121"/>
      <c r="I2" s="121"/>
      <c r="J2" s="121"/>
      <c r="K2" s="121"/>
    </row>
    <row r="3" spans="1:11" ht="19.5" thickBot="1" x14ac:dyDescent="0.3">
      <c r="A3" s="3" t="s">
        <v>18</v>
      </c>
      <c r="B3" s="3" t="s">
        <v>19</v>
      </c>
      <c r="C3" s="122" t="s">
        <v>208</v>
      </c>
      <c r="D3" s="123"/>
      <c r="E3" s="42" t="s">
        <v>9</v>
      </c>
      <c r="F3" s="49" t="s">
        <v>20</v>
      </c>
      <c r="G3" s="43" t="s">
        <v>21</v>
      </c>
      <c r="H3" s="43" t="s">
        <v>22</v>
      </c>
      <c r="I3" s="44" t="s">
        <v>188</v>
      </c>
      <c r="J3" s="41" t="s">
        <v>23</v>
      </c>
      <c r="K3" s="3" t="s">
        <v>24</v>
      </c>
    </row>
    <row r="4" spans="1:11" s="60" customFormat="1" ht="39" thickBot="1" x14ac:dyDescent="0.3">
      <c r="A4" s="57">
        <v>101</v>
      </c>
      <c r="B4" s="57" t="s">
        <v>26</v>
      </c>
      <c r="C4" s="57" t="s">
        <v>25</v>
      </c>
      <c r="D4" s="57">
        <v>1.1000000000000001</v>
      </c>
      <c r="E4" s="101" t="s">
        <v>74</v>
      </c>
      <c r="F4" s="101" t="s">
        <v>146</v>
      </c>
      <c r="G4" s="101" t="s">
        <v>190</v>
      </c>
      <c r="H4" s="57" t="s">
        <v>80</v>
      </c>
      <c r="I4" s="57">
        <v>5</v>
      </c>
      <c r="J4" s="57" t="s">
        <v>186</v>
      </c>
      <c r="K4" s="101" t="s">
        <v>147</v>
      </c>
    </row>
    <row r="5" spans="1:11" s="60" customFormat="1" ht="39" thickBot="1" x14ac:dyDescent="0.3">
      <c r="A5" s="106">
        <v>102</v>
      </c>
      <c r="B5" s="106" t="s">
        <v>26</v>
      </c>
      <c r="C5" s="106" t="s">
        <v>25</v>
      </c>
      <c r="D5" s="106">
        <v>1.2</v>
      </c>
      <c r="E5" s="103" t="s">
        <v>74</v>
      </c>
      <c r="F5" s="103" t="s">
        <v>148</v>
      </c>
      <c r="G5" s="103" t="s">
        <v>191</v>
      </c>
      <c r="H5" s="106" t="s">
        <v>80</v>
      </c>
      <c r="I5" s="106">
        <v>8</v>
      </c>
      <c r="J5" s="106" t="s">
        <v>77</v>
      </c>
      <c r="K5" s="103" t="s">
        <v>149</v>
      </c>
    </row>
    <row r="6" spans="1:11" s="60" customFormat="1" ht="39" thickBot="1" x14ac:dyDescent="0.3">
      <c r="A6" s="57">
        <v>103</v>
      </c>
      <c r="B6" s="57" t="s">
        <v>26</v>
      </c>
      <c r="C6" s="57" t="s">
        <v>27</v>
      </c>
      <c r="D6" s="57">
        <v>1.3</v>
      </c>
      <c r="E6" s="101" t="s">
        <v>74</v>
      </c>
      <c r="F6" s="101" t="s">
        <v>150</v>
      </c>
      <c r="G6" s="101" t="s">
        <v>192</v>
      </c>
      <c r="H6" s="57" t="s">
        <v>78</v>
      </c>
      <c r="I6" s="57">
        <v>3</v>
      </c>
      <c r="J6" s="57" t="s">
        <v>186</v>
      </c>
      <c r="K6" s="101" t="s">
        <v>151</v>
      </c>
    </row>
    <row r="7" spans="1:11" s="60" customFormat="1" ht="39" thickBot="1" x14ac:dyDescent="0.3">
      <c r="A7" s="106">
        <v>201</v>
      </c>
      <c r="B7" s="106" t="s">
        <v>26</v>
      </c>
      <c r="C7" s="106" t="s">
        <v>25</v>
      </c>
      <c r="D7" s="106">
        <v>2.1</v>
      </c>
      <c r="E7" s="103" t="s">
        <v>152</v>
      </c>
      <c r="F7" s="103" t="s">
        <v>153</v>
      </c>
      <c r="G7" s="103" t="s">
        <v>193</v>
      </c>
      <c r="H7" s="106" t="s">
        <v>75</v>
      </c>
      <c r="I7" s="106">
        <v>8</v>
      </c>
      <c r="J7" s="106" t="s">
        <v>77</v>
      </c>
      <c r="K7" s="103" t="s">
        <v>154</v>
      </c>
    </row>
    <row r="8" spans="1:11" s="60" customFormat="1" ht="39" thickBot="1" x14ac:dyDescent="0.3">
      <c r="A8" s="57">
        <v>202</v>
      </c>
      <c r="B8" s="57" t="s">
        <v>26</v>
      </c>
      <c r="C8" s="57" t="s">
        <v>25</v>
      </c>
      <c r="D8" s="57">
        <v>2.2000000000000002</v>
      </c>
      <c r="E8" s="101" t="s">
        <v>155</v>
      </c>
      <c r="F8" s="101" t="s">
        <v>156</v>
      </c>
      <c r="G8" s="101" t="s">
        <v>194</v>
      </c>
      <c r="H8" s="57" t="s">
        <v>78</v>
      </c>
      <c r="I8" s="57">
        <v>3</v>
      </c>
      <c r="J8" s="57" t="s">
        <v>186</v>
      </c>
      <c r="K8" s="101" t="s">
        <v>157</v>
      </c>
    </row>
    <row r="9" spans="1:11" s="60" customFormat="1" ht="39" thickBot="1" x14ac:dyDescent="0.3">
      <c r="A9" s="106">
        <v>203</v>
      </c>
      <c r="B9" s="106" t="s">
        <v>26</v>
      </c>
      <c r="C9" s="106" t="s">
        <v>25</v>
      </c>
      <c r="D9" s="106">
        <v>2.2999999999999998</v>
      </c>
      <c r="E9" s="103" t="s">
        <v>158</v>
      </c>
      <c r="F9" s="103" t="s">
        <v>159</v>
      </c>
      <c r="G9" s="103" t="s">
        <v>195</v>
      </c>
      <c r="H9" s="106" t="s">
        <v>75</v>
      </c>
      <c r="I9" s="106">
        <v>8</v>
      </c>
      <c r="J9" s="106" t="s">
        <v>77</v>
      </c>
      <c r="K9" s="103" t="s">
        <v>160</v>
      </c>
    </row>
    <row r="10" spans="1:11" s="60" customFormat="1" ht="39" thickBot="1" x14ac:dyDescent="0.3">
      <c r="A10" s="57">
        <v>204</v>
      </c>
      <c r="B10" s="57" t="s">
        <v>26</v>
      </c>
      <c r="C10" s="57" t="s">
        <v>25</v>
      </c>
      <c r="D10" s="57">
        <v>2.4</v>
      </c>
      <c r="E10" s="101" t="s">
        <v>152</v>
      </c>
      <c r="F10" s="101" t="s">
        <v>161</v>
      </c>
      <c r="G10" s="101" t="s">
        <v>196</v>
      </c>
      <c r="H10" s="57" t="s">
        <v>189</v>
      </c>
      <c r="I10" s="57">
        <v>13</v>
      </c>
      <c r="J10" s="57" t="s">
        <v>187</v>
      </c>
      <c r="K10" s="101" t="s">
        <v>162</v>
      </c>
    </row>
    <row r="11" spans="1:11" s="60" customFormat="1" ht="39" thickBot="1" x14ac:dyDescent="0.3">
      <c r="A11" s="106">
        <v>205</v>
      </c>
      <c r="B11" s="106" t="s">
        <v>26</v>
      </c>
      <c r="C11" s="106" t="s">
        <v>25</v>
      </c>
      <c r="D11" s="106">
        <v>2.5</v>
      </c>
      <c r="E11" s="103" t="s">
        <v>79</v>
      </c>
      <c r="F11" s="103" t="s">
        <v>163</v>
      </c>
      <c r="G11" s="103" t="s">
        <v>197</v>
      </c>
      <c r="H11" s="106" t="s">
        <v>75</v>
      </c>
      <c r="I11" s="106">
        <v>5</v>
      </c>
      <c r="J11" s="106" t="s">
        <v>186</v>
      </c>
      <c r="K11" s="103" t="s">
        <v>164</v>
      </c>
    </row>
    <row r="12" spans="1:11" s="60" customFormat="1" ht="39" thickBot="1" x14ac:dyDescent="0.3">
      <c r="A12" s="57">
        <v>301</v>
      </c>
      <c r="B12" s="57" t="s">
        <v>26</v>
      </c>
      <c r="C12" s="57" t="s">
        <v>27</v>
      </c>
      <c r="D12" s="57">
        <v>3.1</v>
      </c>
      <c r="E12" s="101" t="s">
        <v>74</v>
      </c>
      <c r="F12" s="101" t="s">
        <v>165</v>
      </c>
      <c r="G12" s="101" t="s">
        <v>198</v>
      </c>
      <c r="H12" s="57" t="s">
        <v>81</v>
      </c>
      <c r="I12" s="57">
        <v>5</v>
      </c>
      <c r="J12" s="57" t="s">
        <v>186</v>
      </c>
      <c r="K12" s="101" t="s">
        <v>166</v>
      </c>
    </row>
    <row r="13" spans="1:11" s="60" customFormat="1" ht="39" thickBot="1" x14ac:dyDescent="0.3">
      <c r="A13" s="106">
        <v>302</v>
      </c>
      <c r="B13" s="106" t="s">
        <v>26</v>
      </c>
      <c r="C13" s="106" t="s">
        <v>27</v>
      </c>
      <c r="D13" s="106">
        <v>3.2</v>
      </c>
      <c r="E13" s="103" t="s">
        <v>74</v>
      </c>
      <c r="F13" s="103" t="s">
        <v>167</v>
      </c>
      <c r="G13" s="103" t="s">
        <v>199</v>
      </c>
      <c r="H13" s="106" t="s">
        <v>81</v>
      </c>
      <c r="I13" s="106">
        <v>5</v>
      </c>
      <c r="J13" s="106" t="s">
        <v>186</v>
      </c>
      <c r="K13" s="103" t="s">
        <v>168</v>
      </c>
    </row>
    <row r="14" spans="1:11" s="60" customFormat="1" ht="39" thickBot="1" x14ac:dyDescent="0.3">
      <c r="A14" s="57">
        <v>401</v>
      </c>
      <c r="B14" s="57" t="s">
        <v>26</v>
      </c>
      <c r="C14" s="57" t="s">
        <v>25</v>
      </c>
      <c r="D14" s="57">
        <v>4.0999999999999996</v>
      </c>
      <c r="E14" s="101" t="s">
        <v>169</v>
      </c>
      <c r="F14" s="101" t="s">
        <v>170</v>
      </c>
      <c r="G14" s="101" t="s">
        <v>200</v>
      </c>
      <c r="H14" s="57" t="s">
        <v>75</v>
      </c>
      <c r="I14" s="57">
        <v>8</v>
      </c>
      <c r="J14" s="57" t="s">
        <v>77</v>
      </c>
      <c r="K14" s="101" t="s">
        <v>171</v>
      </c>
    </row>
    <row r="15" spans="1:11" s="60" customFormat="1" ht="26.25" thickBot="1" x14ac:dyDescent="0.3">
      <c r="A15" s="106">
        <v>402</v>
      </c>
      <c r="B15" s="106" t="s">
        <v>26</v>
      </c>
      <c r="C15" s="106" t="s">
        <v>27</v>
      </c>
      <c r="D15" s="106">
        <v>4.2</v>
      </c>
      <c r="E15" s="103" t="s">
        <v>169</v>
      </c>
      <c r="F15" s="103" t="s">
        <v>172</v>
      </c>
      <c r="G15" s="103" t="s">
        <v>201</v>
      </c>
      <c r="H15" s="106" t="s">
        <v>78</v>
      </c>
      <c r="I15" s="106">
        <v>3</v>
      </c>
      <c r="J15" s="106" t="s">
        <v>186</v>
      </c>
      <c r="K15" s="103" t="s">
        <v>173</v>
      </c>
    </row>
    <row r="16" spans="1:11" s="60" customFormat="1" ht="39" thickBot="1" x14ac:dyDescent="0.3">
      <c r="A16" s="57">
        <v>501</v>
      </c>
      <c r="B16" s="57" t="s">
        <v>26</v>
      </c>
      <c r="C16" s="57" t="s">
        <v>28</v>
      </c>
      <c r="D16" s="57">
        <v>5.0999999999999996</v>
      </c>
      <c r="E16" s="101" t="s">
        <v>169</v>
      </c>
      <c r="F16" s="101" t="s">
        <v>174</v>
      </c>
      <c r="G16" s="101" t="s">
        <v>202</v>
      </c>
      <c r="H16" s="57" t="s">
        <v>76</v>
      </c>
      <c r="I16" s="57">
        <v>3</v>
      </c>
      <c r="J16" s="57" t="s">
        <v>186</v>
      </c>
      <c r="K16" s="101" t="s">
        <v>175</v>
      </c>
    </row>
    <row r="17" spans="1:11" s="60" customFormat="1" ht="39" thickBot="1" x14ac:dyDescent="0.3">
      <c r="A17" s="106">
        <v>502</v>
      </c>
      <c r="B17" s="106" t="s">
        <v>26</v>
      </c>
      <c r="C17" s="106" t="s">
        <v>25</v>
      </c>
      <c r="D17" s="106">
        <v>5.2</v>
      </c>
      <c r="E17" s="103" t="s">
        <v>169</v>
      </c>
      <c r="F17" s="103" t="s">
        <v>176</v>
      </c>
      <c r="G17" s="103" t="s">
        <v>203</v>
      </c>
      <c r="H17" s="106" t="s">
        <v>81</v>
      </c>
      <c r="I17" s="106">
        <v>5</v>
      </c>
      <c r="J17" s="106" t="s">
        <v>186</v>
      </c>
      <c r="K17" s="103" t="s">
        <v>177</v>
      </c>
    </row>
    <row r="18" spans="1:11" s="60" customFormat="1" ht="39" thickBot="1" x14ac:dyDescent="0.3">
      <c r="A18" s="57">
        <v>503</v>
      </c>
      <c r="B18" s="57" t="s">
        <v>26</v>
      </c>
      <c r="C18" s="57" t="s">
        <v>25</v>
      </c>
      <c r="D18" s="57">
        <v>5.3</v>
      </c>
      <c r="E18" s="101" t="s">
        <v>169</v>
      </c>
      <c r="F18" s="101" t="s">
        <v>178</v>
      </c>
      <c r="G18" s="101" t="s">
        <v>204</v>
      </c>
      <c r="H18" s="57" t="s">
        <v>81</v>
      </c>
      <c r="I18" s="57">
        <v>5</v>
      </c>
      <c r="J18" s="57" t="s">
        <v>186</v>
      </c>
      <c r="K18" s="101" t="s">
        <v>179</v>
      </c>
    </row>
    <row r="19" spans="1:11" s="60" customFormat="1" ht="39" thickBot="1" x14ac:dyDescent="0.3">
      <c r="A19" s="106">
        <v>504</v>
      </c>
      <c r="B19" s="106" t="s">
        <v>26</v>
      </c>
      <c r="C19" s="106" t="s">
        <v>25</v>
      </c>
      <c r="D19" s="106">
        <v>5.4</v>
      </c>
      <c r="E19" s="103" t="s">
        <v>152</v>
      </c>
      <c r="F19" s="103" t="s">
        <v>180</v>
      </c>
      <c r="G19" s="103" t="s">
        <v>205</v>
      </c>
      <c r="H19" s="106" t="s">
        <v>78</v>
      </c>
      <c r="I19" s="106">
        <v>2</v>
      </c>
      <c r="J19" s="106" t="s">
        <v>186</v>
      </c>
      <c r="K19" s="103" t="s">
        <v>181</v>
      </c>
    </row>
    <row r="20" spans="1:11" s="60" customFormat="1" ht="39" thickBot="1" x14ac:dyDescent="0.3">
      <c r="A20" s="57">
        <v>505</v>
      </c>
      <c r="B20" s="57" t="s">
        <v>26</v>
      </c>
      <c r="C20" s="57" t="s">
        <v>25</v>
      </c>
      <c r="D20" s="57">
        <v>5.5</v>
      </c>
      <c r="E20" s="101" t="s">
        <v>169</v>
      </c>
      <c r="F20" s="101" t="s">
        <v>182</v>
      </c>
      <c r="G20" s="101" t="s">
        <v>206</v>
      </c>
      <c r="H20" s="57" t="s">
        <v>75</v>
      </c>
      <c r="I20" s="57">
        <v>5</v>
      </c>
      <c r="J20" s="57" t="s">
        <v>186</v>
      </c>
      <c r="K20" s="101" t="s">
        <v>183</v>
      </c>
    </row>
    <row r="21" spans="1:11" s="60" customFormat="1" ht="39" thickBot="1" x14ac:dyDescent="0.3">
      <c r="A21" s="106">
        <v>506</v>
      </c>
      <c r="B21" s="106" t="s">
        <v>26</v>
      </c>
      <c r="C21" s="106" t="s">
        <v>27</v>
      </c>
      <c r="D21" s="106">
        <v>5.6</v>
      </c>
      <c r="E21" s="103" t="s">
        <v>158</v>
      </c>
      <c r="F21" s="103" t="s">
        <v>184</v>
      </c>
      <c r="G21" s="103" t="s">
        <v>207</v>
      </c>
      <c r="H21" s="106" t="s">
        <v>78</v>
      </c>
      <c r="I21" s="106">
        <v>3</v>
      </c>
      <c r="J21" s="106" t="s">
        <v>186</v>
      </c>
      <c r="K21" s="103" t="s">
        <v>185</v>
      </c>
    </row>
  </sheetData>
  <mergeCells count="3">
    <mergeCell ref="E1:I1"/>
    <mergeCell ref="A2:K2"/>
    <mergeCell ref="C3:D3"/>
  </mergeCells>
  <pageMargins left="0.7" right="0.7" top="0.75" bottom="0.75" header="0.3" footer="0.3"/>
  <pageSetup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J9"/>
  <sheetViews>
    <sheetView showGridLines="0" zoomScale="80" zoomScaleNormal="80" workbookViewId="0">
      <selection activeCell="E25" sqref="E25"/>
    </sheetView>
  </sheetViews>
  <sheetFormatPr baseColWidth="10" defaultColWidth="11.42578125" defaultRowHeight="15" x14ac:dyDescent="0.25"/>
  <cols>
    <col min="1" max="1" width="19.42578125" customWidth="1"/>
    <col min="2" max="2" width="3" customWidth="1"/>
  </cols>
  <sheetData>
    <row r="5" spans="1:10" ht="30" customHeight="1" x14ac:dyDescent="0.25">
      <c r="C5" s="127" t="s">
        <v>209</v>
      </c>
      <c r="D5" s="127"/>
      <c r="E5" s="127"/>
      <c r="F5" s="127"/>
      <c r="G5" s="127"/>
      <c r="H5" s="127"/>
      <c r="I5" s="127"/>
      <c r="J5" s="127"/>
    </row>
    <row r="6" spans="1:10" ht="23.25" customHeight="1" x14ac:dyDescent="0.25">
      <c r="A6" s="52" t="s">
        <v>29</v>
      </c>
      <c r="C6" s="126" t="s">
        <v>210</v>
      </c>
      <c r="D6" s="126"/>
      <c r="E6" s="126" t="s">
        <v>211</v>
      </c>
      <c r="F6" s="126"/>
      <c r="G6" s="126" t="s">
        <v>212</v>
      </c>
      <c r="H6" s="126"/>
      <c r="I6" s="126" t="s">
        <v>213</v>
      </c>
      <c r="J6" s="126"/>
    </row>
    <row r="7" spans="1:10" ht="23.25" customHeight="1" x14ac:dyDescent="0.25">
      <c r="A7" s="52" t="s">
        <v>30</v>
      </c>
      <c r="C7" s="107">
        <v>1</v>
      </c>
      <c r="D7" s="107">
        <v>2</v>
      </c>
      <c r="E7" s="108">
        <v>3</v>
      </c>
      <c r="F7" s="108">
        <v>4</v>
      </c>
      <c r="G7" s="109">
        <v>5</v>
      </c>
      <c r="H7" s="109">
        <v>6</v>
      </c>
      <c r="I7" s="110">
        <v>7</v>
      </c>
      <c r="J7" s="110">
        <v>8</v>
      </c>
    </row>
    <row r="8" spans="1:10" s="102" customFormat="1" ht="29.25" customHeight="1" x14ac:dyDescent="0.25">
      <c r="A8" s="59" t="s">
        <v>218</v>
      </c>
      <c r="C8" s="124" t="s">
        <v>214</v>
      </c>
      <c r="D8" s="124"/>
      <c r="E8" s="124" t="s">
        <v>215</v>
      </c>
      <c r="F8" s="124"/>
      <c r="G8" s="124" t="s">
        <v>216</v>
      </c>
      <c r="H8" s="124"/>
      <c r="I8" s="124" t="s">
        <v>217</v>
      </c>
      <c r="J8" s="124"/>
    </row>
    <row r="9" spans="1:10" s="102" customFormat="1" ht="29.25" customHeight="1" x14ac:dyDescent="0.25">
      <c r="A9" s="59" t="s">
        <v>31</v>
      </c>
      <c r="C9" s="125" t="s">
        <v>219</v>
      </c>
      <c r="D9" s="125"/>
      <c r="E9" s="125" t="s">
        <v>220</v>
      </c>
      <c r="F9" s="125"/>
      <c r="G9" s="125" t="s">
        <v>221</v>
      </c>
      <c r="H9" s="125"/>
      <c r="I9" s="125" t="s">
        <v>222</v>
      </c>
      <c r="J9" s="125"/>
    </row>
  </sheetData>
  <mergeCells count="13">
    <mergeCell ref="C6:D6"/>
    <mergeCell ref="E6:F6"/>
    <mergeCell ref="G6:H6"/>
    <mergeCell ref="I6:J6"/>
    <mergeCell ref="C5:J5"/>
    <mergeCell ref="E8:F8"/>
    <mergeCell ref="C8:D8"/>
    <mergeCell ref="G8:H8"/>
    <mergeCell ref="I8:J8"/>
    <mergeCell ref="C9:D9"/>
    <mergeCell ref="E9:F9"/>
    <mergeCell ref="G9:H9"/>
    <mergeCell ref="I9:J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I33"/>
  <sheetViews>
    <sheetView showGridLines="0" zoomScale="110" zoomScaleNormal="110" workbookViewId="0">
      <pane ySplit="1" topLeftCell="A2" activePane="bottomLeft" state="frozen"/>
      <selection pane="bottomLeft" activeCell="B10" sqref="B10"/>
    </sheetView>
  </sheetViews>
  <sheetFormatPr baseColWidth="10" defaultColWidth="11.42578125" defaultRowHeight="15" x14ac:dyDescent="0.25"/>
  <cols>
    <col min="1" max="1" width="15.85546875" style="2" bestFit="1" customWidth="1"/>
    <col min="2" max="2" width="23.140625" style="2" customWidth="1"/>
    <col min="3" max="3" width="17.28515625" style="2" customWidth="1"/>
    <col min="4" max="4" width="3.85546875" style="2" customWidth="1"/>
    <col min="5" max="5" width="3.5703125" bestFit="1" customWidth="1"/>
    <col min="6" max="6" width="15.85546875" bestFit="1" customWidth="1"/>
    <col min="7" max="7" width="23.140625" customWidth="1"/>
    <col min="9" max="9" width="41.85546875" customWidth="1"/>
  </cols>
  <sheetData>
    <row r="1" spans="1:9" ht="15.75" thickBot="1" x14ac:dyDescent="0.3">
      <c r="A1" s="128" t="s">
        <v>32</v>
      </c>
      <c r="B1" s="129"/>
      <c r="C1" s="130"/>
      <c r="E1" s="6"/>
      <c r="F1" s="128" t="s">
        <v>33</v>
      </c>
      <c r="G1" s="129"/>
      <c r="H1" s="130"/>
      <c r="I1" s="85"/>
    </row>
    <row r="2" spans="1:9" ht="45" customHeight="1" x14ac:dyDescent="0.25">
      <c r="A2" s="5" t="s">
        <v>34</v>
      </c>
      <c r="B2" s="5" t="s">
        <v>35</v>
      </c>
      <c r="C2" s="5" t="s">
        <v>36</v>
      </c>
      <c r="E2" s="131" t="s">
        <v>223</v>
      </c>
      <c r="F2" s="5" t="s">
        <v>34</v>
      </c>
      <c r="G2" s="4" t="s">
        <v>35</v>
      </c>
      <c r="H2" s="1" t="s">
        <v>36</v>
      </c>
      <c r="I2" s="149" t="s">
        <v>37</v>
      </c>
    </row>
    <row r="3" spans="1:9" ht="24.75" customHeight="1" x14ac:dyDescent="0.25">
      <c r="A3" s="143">
        <v>2</v>
      </c>
      <c r="B3" s="139">
        <v>0.5</v>
      </c>
      <c r="C3" s="140" t="s">
        <v>83</v>
      </c>
      <c r="E3" s="132"/>
      <c r="F3" s="84">
        <v>1</v>
      </c>
      <c r="G3" s="153" t="s">
        <v>232</v>
      </c>
      <c r="H3" s="84" t="s">
        <v>224</v>
      </c>
      <c r="I3" s="150" t="s">
        <v>225</v>
      </c>
    </row>
    <row r="4" spans="1:9" ht="24.75" customHeight="1" x14ac:dyDescent="0.25">
      <c r="A4" s="144">
        <v>3</v>
      </c>
      <c r="B4" s="30">
        <v>0.5</v>
      </c>
      <c r="C4" s="31" t="s">
        <v>83</v>
      </c>
      <c r="E4" s="132"/>
      <c r="F4" s="84">
        <v>2</v>
      </c>
      <c r="G4" s="153" t="s">
        <v>233</v>
      </c>
      <c r="H4" s="84" t="s">
        <v>82</v>
      </c>
      <c r="I4" s="150" t="s">
        <v>226</v>
      </c>
    </row>
    <row r="5" spans="1:9" ht="24.75" customHeight="1" x14ac:dyDescent="0.25">
      <c r="A5" s="145">
        <v>5</v>
      </c>
      <c r="B5" s="141">
        <v>1</v>
      </c>
      <c r="C5" s="142" t="s">
        <v>83</v>
      </c>
      <c r="E5" s="132"/>
      <c r="F5" s="84">
        <v>3</v>
      </c>
      <c r="G5" s="153" t="s">
        <v>234</v>
      </c>
      <c r="H5" s="84" t="s">
        <v>82</v>
      </c>
      <c r="I5" s="150" t="s">
        <v>227</v>
      </c>
    </row>
    <row r="6" spans="1:9" ht="24.75" customHeight="1" x14ac:dyDescent="0.25">
      <c r="A6" s="144">
        <v>8</v>
      </c>
      <c r="B6" s="39">
        <v>1.5</v>
      </c>
      <c r="C6" s="31" t="s">
        <v>83</v>
      </c>
      <c r="E6" s="132"/>
      <c r="F6" s="84">
        <v>5</v>
      </c>
      <c r="G6" s="153">
        <v>1</v>
      </c>
      <c r="H6" s="84" t="s">
        <v>38</v>
      </c>
      <c r="I6" s="150" t="s">
        <v>228</v>
      </c>
    </row>
    <row r="7" spans="1:9" ht="24.75" customHeight="1" x14ac:dyDescent="0.25">
      <c r="A7" s="145">
        <v>13</v>
      </c>
      <c r="B7" s="141">
        <v>2</v>
      </c>
      <c r="C7" s="142" t="s">
        <v>83</v>
      </c>
      <c r="E7" s="132"/>
      <c r="F7" s="84">
        <v>8</v>
      </c>
      <c r="G7" s="153">
        <v>1.5</v>
      </c>
      <c r="H7" s="84" t="s">
        <v>83</v>
      </c>
      <c r="I7" s="150" t="s">
        <v>229</v>
      </c>
    </row>
    <row r="8" spans="1:9" ht="24.75" customHeight="1" thickBot="1" x14ac:dyDescent="0.3">
      <c r="A8" s="146">
        <v>21</v>
      </c>
      <c r="B8" s="147">
        <v>3</v>
      </c>
      <c r="C8" s="148" t="s">
        <v>83</v>
      </c>
      <c r="E8" s="132"/>
      <c r="F8" s="84">
        <v>13</v>
      </c>
      <c r="G8" s="153">
        <v>2</v>
      </c>
      <c r="H8" s="84" t="s">
        <v>83</v>
      </c>
      <c r="I8" s="150" t="s">
        <v>230</v>
      </c>
    </row>
    <row r="9" spans="1:9" ht="24.75" customHeight="1" thickBot="1" x14ac:dyDescent="0.3">
      <c r="E9" s="133"/>
      <c r="F9" s="151">
        <v>21</v>
      </c>
      <c r="G9" s="154" t="s">
        <v>231</v>
      </c>
      <c r="H9" s="151" t="s">
        <v>83</v>
      </c>
      <c r="I9" s="152" t="s">
        <v>84</v>
      </c>
    </row>
    <row r="10" spans="1:9" ht="24.75" customHeight="1" x14ac:dyDescent="0.25">
      <c r="E10" s="131" t="s">
        <v>39</v>
      </c>
      <c r="F10" s="5" t="s">
        <v>34</v>
      </c>
      <c r="G10" s="4" t="s">
        <v>35</v>
      </c>
      <c r="H10" s="1" t="s">
        <v>36</v>
      </c>
      <c r="I10" s="149" t="s">
        <v>37</v>
      </c>
    </row>
    <row r="11" spans="1:9" ht="24" x14ac:dyDescent="0.25">
      <c r="E11" s="132"/>
      <c r="F11" s="84">
        <v>1</v>
      </c>
      <c r="G11" s="153" t="s">
        <v>232</v>
      </c>
      <c r="H11" s="84" t="s">
        <v>224</v>
      </c>
      <c r="I11" s="150" t="s">
        <v>225</v>
      </c>
    </row>
    <row r="12" spans="1:9" ht="24" x14ac:dyDescent="0.25">
      <c r="E12" s="132"/>
      <c r="F12" s="84">
        <v>2</v>
      </c>
      <c r="G12" s="153" t="s">
        <v>233</v>
      </c>
      <c r="H12" s="84" t="s">
        <v>82</v>
      </c>
      <c r="I12" s="150" t="s">
        <v>226</v>
      </c>
    </row>
    <row r="13" spans="1:9" ht="24" x14ac:dyDescent="0.25">
      <c r="E13" s="132"/>
      <c r="F13" s="84">
        <v>3</v>
      </c>
      <c r="G13" s="153" t="s">
        <v>234</v>
      </c>
      <c r="H13" s="84" t="s">
        <v>82</v>
      </c>
      <c r="I13" s="150" t="s">
        <v>227</v>
      </c>
    </row>
    <row r="14" spans="1:9" ht="24" x14ac:dyDescent="0.25">
      <c r="E14" s="132"/>
      <c r="F14" s="84">
        <v>5</v>
      </c>
      <c r="G14" s="153">
        <v>1</v>
      </c>
      <c r="H14" s="84" t="s">
        <v>38</v>
      </c>
      <c r="I14" s="150" t="s">
        <v>228</v>
      </c>
    </row>
    <row r="15" spans="1:9" ht="24" x14ac:dyDescent="0.25">
      <c r="E15" s="132"/>
      <c r="F15" s="84">
        <v>8</v>
      </c>
      <c r="G15" s="153">
        <v>1.5</v>
      </c>
      <c r="H15" s="84" t="s">
        <v>83</v>
      </c>
      <c r="I15" s="150" t="s">
        <v>229</v>
      </c>
    </row>
    <row r="16" spans="1:9" ht="24" x14ac:dyDescent="0.25">
      <c r="E16" s="132"/>
      <c r="F16" s="84">
        <v>13</v>
      </c>
      <c r="G16" s="153">
        <v>2</v>
      </c>
      <c r="H16" s="84" t="s">
        <v>83</v>
      </c>
      <c r="I16" s="150" t="s">
        <v>230</v>
      </c>
    </row>
    <row r="17" spans="5:9" ht="24.75" thickBot="1" x14ac:dyDescent="0.3">
      <c r="E17" s="133"/>
      <c r="F17" s="151">
        <v>21</v>
      </c>
      <c r="G17" s="154" t="s">
        <v>231</v>
      </c>
      <c r="H17" s="151" t="s">
        <v>83</v>
      </c>
      <c r="I17" s="152" t="s">
        <v>84</v>
      </c>
    </row>
    <row r="18" spans="5:9" ht="45" x14ac:dyDescent="0.25">
      <c r="E18" s="131" t="s">
        <v>40</v>
      </c>
      <c r="F18" s="5" t="s">
        <v>34</v>
      </c>
      <c r="G18" s="4" t="s">
        <v>35</v>
      </c>
      <c r="H18" s="1" t="s">
        <v>36</v>
      </c>
      <c r="I18" s="149" t="s">
        <v>37</v>
      </c>
    </row>
    <row r="19" spans="5:9" ht="24" x14ac:dyDescent="0.25">
      <c r="E19" s="132"/>
      <c r="F19" s="84">
        <v>1</v>
      </c>
      <c r="G19" s="153" t="s">
        <v>232</v>
      </c>
      <c r="H19" s="84" t="s">
        <v>224</v>
      </c>
      <c r="I19" s="150" t="s">
        <v>225</v>
      </c>
    </row>
    <row r="20" spans="5:9" ht="24" x14ac:dyDescent="0.25">
      <c r="E20" s="132"/>
      <c r="F20" s="84">
        <v>2</v>
      </c>
      <c r="G20" s="153" t="s">
        <v>233</v>
      </c>
      <c r="H20" s="84" t="s">
        <v>82</v>
      </c>
      <c r="I20" s="150" t="s">
        <v>226</v>
      </c>
    </row>
    <row r="21" spans="5:9" ht="24" x14ac:dyDescent="0.25">
      <c r="E21" s="132"/>
      <c r="F21" s="84">
        <v>3</v>
      </c>
      <c r="G21" s="153" t="s">
        <v>234</v>
      </c>
      <c r="H21" s="84" t="s">
        <v>82</v>
      </c>
      <c r="I21" s="150" t="s">
        <v>227</v>
      </c>
    </row>
    <row r="22" spans="5:9" ht="24" x14ac:dyDescent="0.25">
      <c r="E22" s="132"/>
      <c r="F22" s="84">
        <v>5</v>
      </c>
      <c r="G22" s="153">
        <v>1</v>
      </c>
      <c r="H22" s="84" t="s">
        <v>38</v>
      </c>
      <c r="I22" s="150" t="s">
        <v>228</v>
      </c>
    </row>
    <row r="23" spans="5:9" ht="24" x14ac:dyDescent="0.25">
      <c r="E23" s="132"/>
      <c r="F23" s="84">
        <v>8</v>
      </c>
      <c r="G23" s="153">
        <v>1.5</v>
      </c>
      <c r="H23" s="84" t="s">
        <v>83</v>
      </c>
      <c r="I23" s="150" t="s">
        <v>229</v>
      </c>
    </row>
    <row r="24" spans="5:9" ht="24" x14ac:dyDescent="0.25">
      <c r="E24" s="132"/>
      <c r="F24" s="84">
        <v>13</v>
      </c>
      <c r="G24" s="153">
        <v>2</v>
      </c>
      <c r="H24" s="84" t="s">
        <v>83</v>
      </c>
      <c r="I24" s="150" t="s">
        <v>230</v>
      </c>
    </row>
    <row r="25" spans="5:9" ht="24.75" thickBot="1" x14ac:dyDescent="0.3">
      <c r="E25" s="133"/>
      <c r="F25" s="151">
        <v>21</v>
      </c>
      <c r="G25" s="154" t="s">
        <v>231</v>
      </c>
      <c r="H25" s="151" t="s">
        <v>83</v>
      </c>
      <c r="I25" s="152" t="s">
        <v>84</v>
      </c>
    </row>
    <row r="26" spans="5:9" ht="45" x14ac:dyDescent="0.25">
      <c r="E26" s="131" t="s">
        <v>41</v>
      </c>
      <c r="F26" s="5" t="s">
        <v>34</v>
      </c>
      <c r="G26" s="4" t="s">
        <v>35</v>
      </c>
      <c r="H26" s="1" t="s">
        <v>36</v>
      </c>
      <c r="I26" s="149" t="s">
        <v>37</v>
      </c>
    </row>
    <row r="27" spans="5:9" ht="24" x14ac:dyDescent="0.25">
      <c r="E27" s="132"/>
      <c r="F27" s="84">
        <v>1</v>
      </c>
      <c r="G27" s="153" t="s">
        <v>232</v>
      </c>
      <c r="H27" s="84" t="s">
        <v>224</v>
      </c>
      <c r="I27" s="150" t="s">
        <v>225</v>
      </c>
    </row>
    <row r="28" spans="5:9" ht="24" x14ac:dyDescent="0.25">
      <c r="E28" s="132"/>
      <c r="F28" s="84">
        <v>2</v>
      </c>
      <c r="G28" s="153" t="s">
        <v>233</v>
      </c>
      <c r="H28" s="84" t="s">
        <v>82</v>
      </c>
      <c r="I28" s="150" t="s">
        <v>226</v>
      </c>
    </row>
    <row r="29" spans="5:9" ht="24" x14ac:dyDescent="0.25">
      <c r="E29" s="132"/>
      <c r="F29" s="84">
        <v>3</v>
      </c>
      <c r="G29" s="153" t="s">
        <v>234</v>
      </c>
      <c r="H29" s="84" t="s">
        <v>82</v>
      </c>
      <c r="I29" s="150" t="s">
        <v>227</v>
      </c>
    </row>
    <row r="30" spans="5:9" ht="24" x14ac:dyDescent="0.25">
      <c r="E30" s="132"/>
      <c r="F30" s="84">
        <v>5</v>
      </c>
      <c r="G30" s="153">
        <v>1</v>
      </c>
      <c r="H30" s="84" t="s">
        <v>38</v>
      </c>
      <c r="I30" s="150" t="s">
        <v>228</v>
      </c>
    </row>
    <row r="31" spans="5:9" ht="24" x14ac:dyDescent="0.25">
      <c r="E31" s="132"/>
      <c r="F31" s="84">
        <v>8</v>
      </c>
      <c r="G31" s="153">
        <v>1.5</v>
      </c>
      <c r="H31" s="84" t="s">
        <v>83</v>
      </c>
      <c r="I31" s="150" t="s">
        <v>229</v>
      </c>
    </row>
    <row r="32" spans="5:9" ht="24" x14ac:dyDescent="0.25">
      <c r="E32" s="132"/>
      <c r="F32" s="84">
        <v>13</v>
      </c>
      <c r="G32" s="153">
        <v>2</v>
      </c>
      <c r="H32" s="84" t="s">
        <v>83</v>
      </c>
      <c r="I32" s="150" t="s">
        <v>230</v>
      </c>
    </row>
    <row r="33" spans="5:9" ht="24.75" thickBot="1" x14ac:dyDescent="0.3">
      <c r="E33" s="133"/>
      <c r="F33" s="151">
        <v>21</v>
      </c>
      <c r="G33" s="154" t="s">
        <v>231</v>
      </c>
      <c r="H33" s="151" t="s">
        <v>83</v>
      </c>
      <c r="I33" s="152" t="s">
        <v>84</v>
      </c>
    </row>
  </sheetData>
  <mergeCells count="6">
    <mergeCell ref="A1:C1"/>
    <mergeCell ref="E10:E17"/>
    <mergeCell ref="E18:E25"/>
    <mergeCell ref="E26:E33"/>
    <mergeCell ref="F1:H1"/>
    <mergeCell ref="E2:E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F121"/>
  <sheetViews>
    <sheetView showGridLines="0" zoomScale="110" zoomScaleNormal="110" workbookViewId="0">
      <pane xSplit="1" ySplit="1" topLeftCell="B2" activePane="bottomRight" state="frozen"/>
      <selection pane="topRight" activeCell="B1" sqref="B1"/>
      <selection pane="bottomLeft" activeCell="A2" sqref="A2"/>
      <selection pane="bottomRight" activeCell="A5" sqref="A5"/>
    </sheetView>
  </sheetViews>
  <sheetFormatPr baseColWidth="10" defaultColWidth="11.42578125" defaultRowHeight="15" x14ac:dyDescent="0.25"/>
  <cols>
    <col min="1" max="1" width="30" style="33" customWidth="1"/>
    <col min="2" max="2" width="23.85546875" style="33" customWidth="1"/>
    <col min="3" max="3" width="58.42578125" customWidth="1"/>
    <col min="4" max="4" width="13.5703125" style="33" customWidth="1"/>
    <col min="5" max="5" width="14.42578125" style="33" customWidth="1"/>
    <col min="6" max="6" width="11.42578125" style="155"/>
  </cols>
  <sheetData>
    <row r="1" spans="1:6" ht="15.75" x14ac:dyDescent="0.25">
      <c r="A1" s="7" t="s">
        <v>42</v>
      </c>
      <c r="B1" s="8" t="s">
        <v>43</v>
      </c>
      <c r="C1" s="8" t="s">
        <v>44</v>
      </c>
      <c r="D1" s="8" t="s">
        <v>45</v>
      </c>
      <c r="E1" s="9" t="s">
        <v>46</v>
      </c>
    </row>
    <row r="2" spans="1:6" x14ac:dyDescent="0.25">
      <c r="A2" s="71" t="s">
        <v>235</v>
      </c>
      <c r="B2" s="62" t="s">
        <v>70</v>
      </c>
      <c r="C2" s="10" t="s">
        <v>236</v>
      </c>
      <c r="D2" s="62">
        <v>3</v>
      </c>
      <c r="E2" s="63" t="s">
        <v>237</v>
      </c>
      <c r="F2" s="156" t="s">
        <v>210</v>
      </c>
    </row>
    <row r="3" spans="1:6" x14ac:dyDescent="0.25">
      <c r="A3" s="64" t="s">
        <v>235</v>
      </c>
      <c r="B3" s="64" t="s">
        <v>70</v>
      </c>
      <c r="C3" s="11" t="s">
        <v>238</v>
      </c>
      <c r="D3" s="64">
        <v>2</v>
      </c>
      <c r="E3" s="65" t="s">
        <v>237</v>
      </c>
      <c r="F3" s="156" t="s">
        <v>210</v>
      </c>
    </row>
    <row r="4" spans="1:6" x14ac:dyDescent="0.25">
      <c r="A4" s="71" t="s">
        <v>239</v>
      </c>
      <c r="B4" s="62" t="s">
        <v>70</v>
      </c>
      <c r="C4" s="10" t="s">
        <v>240</v>
      </c>
      <c r="D4" s="62">
        <v>5</v>
      </c>
      <c r="E4" s="63" t="s">
        <v>237</v>
      </c>
      <c r="F4" s="156" t="s">
        <v>210</v>
      </c>
    </row>
    <row r="5" spans="1:6" x14ac:dyDescent="0.25">
      <c r="A5" s="64" t="s">
        <v>239</v>
      </c>
      <c r="B5" s="64" t="s">
        <v>70</v>
      </c>
      <c r="C5" s="11" t="s">
        <v>241</v>
      </c>
      <c r="D5" s="64">
        <v>3</v>
      </c>
      <c r="E5" s="65" t="s">
        <v>237</v>
      </c>
      <c r="F5" s="156" t="s">
        <v>210</v>
      </c>
    </row>
    <row r="6" spans="1:6" x14ac:dyDescent="0.25">
      <c r="A6" s="71" t="s">
        <v>242</v>
      </c>
      <c r="B6" s="62" t="s">
        <v>70</v>
      </c>
      <c r="C6" s="10" t="s">
        <v>243</v>
      </c>
      <c r="D6" s="62">
        <v>3</v>
      </c>
      <c r="E6" s="63" t="s">
        <v>237</v>
      </c>
      <c r="F6" s="156" t="s">
        <v>210</v>
      </c>
    </row>
    <row r="7" spans="1:6" x14ac:dyDescent="0.25">
      <c r="A7" s="64" t="s">
        <v>244</v>
      </c>
      <c r="B7" s="64" t="s">
        <v>70</v>
      </c>
      <c r="C7" s="11" t="s">
        <v>245</v>
      </c>
      <c r="D7" s="64">
        <v>5</v>
      </c>
      <c r="E7" s="65" t="s">
        <v>237</v>
      </c>
      <c r="F7" s="156" t="s">
        <v>210</v>
      </c>
    </row>
    <row r="8" spans="1:6" x14ac:dyDescent="0.25">
      <c r="A8" s="71" t="s">
        <v>246</v>
      </c>
      <c r="B8" s="62" t="s">
        <v>70</v>
      </c>
      <c r="C8" s="10" t="s">
        <v>247</v>
      </c>
      <c r="D8" s="62">
        <v>5</v>
      </c>
      <c r="E8" s="63" t="s">
        <v>237</v>
      </c>
      <c r="F8" s="156" t="s">
        <v>210</v>
      </c>
    </row>
    <row r="9" spans="1:6" x14ac:dyDescent="0.25">
      <c r="A9" s="64" t="s">
        <v>248</v>
      </c>
      <c r="B9" s="64" t="s">
        <v>70</v>
      </c>
      <c r="C9" s="11" t="s">
        <v>249</v>
      </c>
      <c r="D9" s="64">
        <v>4</v>
      </c>
      <c r="E9" s="65" t="s">
        <v>85</v>
      </c>
      <c r="F9" s="156" t="s">
        <v>211</v>
      </c>
    </row>
    <row r="10" spans="1:6" x14ac:dyDescent="0.25">
      <c r="A10" s="71" t="s">
        <v>248</v>
      </c>
      <c r="B10" s="62" t="s">
        <v>70</v>
      </c>
      <c r="C10" s="10" t="s">
        <v>250</v>
      </c>
      <c r="D10" s="62">
        <v>4</v>
      </c>
      <c r="E10" s="63" t="s">
        <v>85</v>
      </c>
      <c r="F10" s="156" t="s">
        <v>211</v>
      </c>
    </row>
    <row r="11" spans="1:6" x14ac:dyDescent="0.25">
      <c r="A11" s="64" t="s">
        <v>251</v>
      </c>
      <c r="B11" s="64" t="s">
        <v>70</v>
      </c>
      <c r="C11" s="11" t="s">
        <v>252</v>
      </c>
      <c r="D11" s="64">
        <v>3</v>
      </c>
      <c r="E11" s="65" t="s">
        <v>85</v>
      </c>
      <c r="F11" s="156" t="s">
        <v>211</v>
      </c>
    </row>
    <row r="12" spans="1:6" x14ac:dyDescent="0.25">
      <c r="A12" s="71" t="s">
        <v>253</v>
      </c>
      <c r="B12" s="62" t="s">
        <v>70</v>
      </c>
      <c r="C12" s="10" t="s">
        <v>254</v>
      </c>
      <c r="D12" s="62">
        <v>2</v>
      </c>
      <c r="E12" s="63" t="s">
        <v>85</v>
      </c>
      <c r="F12" s="156" t="s">
        <v>211</v>
      </c>
    </row>
    <row r="13" spans="1:6" x14ac:dyDescent="0.25">
      <c r="A13" s="72" t="s">
        <v>255</v>
      </c>
      <c r="B13" s="64" t="s">
        <v>70</v>
      </c>
      <c r="C13" s="11" t="s">
        <v>256</v>
      </c>
      <c r="D13" s="64">
        <v>5</v>
      </c>
      <c r="E13" s="65" t="s">
        <v>85</v>
      </c>
      <c r="F13" s="156" t="s">
        <v>211</v>
      </c>
    </row>
    <row r="14" spans="1:6" x14ac:dyDescent="0.25">
      <c r="A14" s="71" t="s">
        <v>257</v>
      </c>
      <c r="B14" s="62" t="s">
        <v>70</v>
      </c>
      <c r="C14" s="10" t="s">
        <v>258</v>
      </c>
      <c r="D14" s="62">
        <v>7</v>
      </c>
      <c r="E14" s="63" t="s">
        <v>259</v>
      </c>
      <c r="F14" s="156" t="s">
        <v>212</v>
      </c>
    </row>
    <row r="15" spans="1:6" x14ac:dyDescent="0.25">
      <c r="A15" s="72" t="s">
        <v>257</v>
      </c>
      <c r="B15" s="64" t="s">
        <v>70</v>
      </c>
      <c r="C15" s="11" t="s">
        <v>260</v>
      </c>
      <c r="D15" s="64">
        <v>6</v>
      </c>
      <c r="E15" s="65" t="s">
        <v>259</v>
      </c>
      <c r="F15" s="156" t="s">
        <v>212</v>
      </c>
    </row>
    <row r="16" spans="1:6" x14ac:dyDescent="0.25">
      <c r="A16" s="71" t="s">
        <v>261</v>
      </c>
      <c r="B16" s="62" t="s">
        <v>70</v>
      </c>
      <c r="C16" s="10" t="s">
        <v>262</v>
      </c>
      <c r="D16" s="62">
        <v>8</v>
      </c>
      <c r="E16" s="63" t="s">
        <v>259</v>
      </c>
      <c r="F16" s="156" t="s">
        <v>212</v>
      </c>
    </row>
    <row r="17" spans="1:6" x14ac:dyDescent="0.25">
      <c r="A17" s="72" t="s">
        <v>263</v>
      </c>
      <c r="B17" s="64" t="s">
        <v>70</v>
      </c>
      <c r="C17" s="11" t="s">
        <v>264</v>
      </c>
      <c r="D17" s="64">
        <v>5</v>
      </c>
      <c r="E17" s="65" t="s">
        <v>85</v>
      </c>
      <c r="F17" s="156" t="s">
        <v>212</v>
      </c>
    </row>
    <row r="18" spans="1:6" x14ac:dyDescent="0.25">
      <c r="A18" s="71" t="s">
        <v>265</v>
      </c>
      <c r="B18" s="62" t="s">
        <v>70</v>
      </c>
      <c r="C18" s="10" t="s">
        <v>266</v>
      </c>
      <c r="D18" s="62">
        <v>3</v>
      </c>
      <c r="E18" s="63" t="s">
        <v>85</v>
      </c>
      <c r="F18" s="156" t="s">
        <v>212</v>
      </c>
    </row>
    <row r="19" spans="1:6" x14ac:dyDescent="0.25">
      <c r="A19" s="72" t="s">
        <v>267</v>
      </c>
      <c r="B19" s="64" t="s">
        <v>70</v>
      </c>
      <c r="C19" s="11" t="s">
        <v>268</v>
      </c>
      <c r="D19" s="64">
        <v>5</v>
      </c>
      <c r="E19" s="65" t="s">
        <v>85</v>
      </c>
      <c r="F19" s="156" t="s">
        <v>213</v>
      </c>
    </row>
    <row r="20" spans="1:6" x14ac:dyDescent="0.25">
      <c r="A20" s="71" t="s">
        <v>269</v>
      </c>
      <c r="B20" s="62" t="s">
        <v>70</v>
      </c>
      <c r="C20" s="10" t="s">
        <v>270</v>
      </c>
      <c r="D20" s="62">
        <v>5</v>
      </c>
      <c r="E20" s="63" t="s">
        <v>85</v>
      </c>
      <c r="F20" s="156" t="s">
        <v>213</v>
      </c>
    </row>
    <row r="21" spans="1:6" x14ac:dyDescent="0.25">
      <c r="A21" s="72" t="s">
        <v>271</v>
      </c>
      <c r="B21" s="64" t="s">
        <v>70</v>
      </c>
      <c r="C21" s="11" t="s">
        <v>272</v>
      </c>
      <c r="D21" s="64">
        <v>8</v>
      </c>
      <c r="E21" s="65" t="s">
        <v>85</v>
      </c>
      <c r="F21" s="156" t="s">
        <v>213</v>
      </c>
    </row>
    <row r="22" spans="1:6" x14ac:dyDescent="0.25">
      <c r="A22" s="71" t="s">
        <v>273</v>
      </c>
      <c r="B22" s="62" t="s">
        <v>70</v>
      </c>
      <c r="C22" s="10" t="s">
        <v>274</v>
      </c>
      <c r="D22" s="62">
        <v>3</v>
      </c>
      <c r="E22" s="63" t="s">
        <v>85</v>
      </c>
      <c r="F22" s="156" t="s">
        <v>213</v>
      </c>
    </row>
    <row r="23" spans="1:6" x14ac:dyDescent="0.25">
      <c r="A23" s="72" t="s">
        <v>275</v>
      </c>
      <c r="B23" s="64" t="s">
        <v>70</v>
      </c>
      <c r="C23" s="11" t="s">
        <v>276</v>
      </c>
      <c r="D23" s="64">
        <v>3</v>
      </c>
      <c r="E23" s="65" t="s">
        <v>85</v>
      </c>
      <c r="F23" s="156" t="s">
        <v>213</v>
      </c>
    </row>
    <row r="24" spans="1:6" x14ac:dyDescent="0.25">
      <c r="A24" s="71"/>
      <c r="B24" s="62"/>
      <c r="C24" s="10"/>
      <c r="D24" s="62"/>
      <c r="E24" s="63"/>
    </row>
    <row r="25" spans="1:6" x14ac:dyDescent="0.25">
      <c r="A25" s="72"/>
      <c r="B25" s="64"/>
      <c r="C25" s="11"/>
      <c r="D25" s="64"/>
      <c r="E25" s="65"/>
    </row>
    <row r="26" spans="1:6" x14ac:dyDescent="0.25">
      <c r="A26" s="71"/>
      <c r="B26" s="62"/>
      <c r="C26" s="10"/>
      <c r="D26" s="62"/>
      <c r="E26" s="63"/>
    </row>
    <row r="27" spans="1:6" x14ac:dyDescent="0.25">
      <c r="A27" s="72"/>
      <c r="B27" s="64"/>
      <c r="C27" s="11"/>
      <c r="D27" s="64"/>
      <c r="E27" s="65"/>
    </row>
    <row r="28" spans="1:6" x14ac:dyDescent="0.25">
      <c r="A28" s="71"/>
      <c r="B28" s="62"/>
      <c r="C28" s="10"/>
      <c r="D28" s="62"/>
      <c r="E28" s="63"/>
    </row>
    <row r="29" spans="1:6" x14ac:dyDescent="0.25">
      <c r="A29" s="72"/>
      <c r="B29" s="64"/>
      <c r="C29" s="11"/>
      <c r="D29" s="64"/>
      <c r="E29" s="65"/>
    </row>
    <row r="30" spans="1:6" x14ac:dyDescent="0.25">
      <c r="A30" s="71"/>
      <c r="B30" s="62"/>
      <c r="C30" s="10"/>
      <c r="D30" s="62"/>
      <c r="E30" s="63"/>
    </row>
    <row r="31" spans="1:6" x14ac:dyDescent="0.25">
      <c r="A31" s="72"/>
      <c r="B31" s="64"/>
      <c r="C31" s="11"/>
      <c r="D31" s="64"/>
      <c r="E31" s="65"/>
    </row>
    <row r="32" spans="1:6" x14ac:dyDescent="0.25">
      <c r="A32" s="71"/>
      <c r="B32" s="62"/>
      <c r="C32" s="10"/>
      <c r="D32" s="62"/>
      <c r="E32" s="63"/>
    </row>
    <row r="33" spans="1:5" x14ac:dyDescent="0.25">
      <c r="A33" s="72"/>
      <c r="B33" s="64"/>
      <c r="C33" s="11"/>
      <c r="D33" s="64"/>
      <c r="E33" s="65"/>
    </row>
    <row r="34" spans="1:5" x14ac:dyDescent="0.25">
      <c r="A34" s="71"/>
      <c r="B34" s="62"/>
      <c r="C34" s="10"/>
      <c r="D34" s="62"/>
      <c r="E34" s="63"/>
    </row>
    <row r="35" spans="1:5" x14ac:dyDescent="0.25">
      <c r="A35" s="72"/>
      <c r="B35" s="64"/>
      <c r="C35" s="11"/>
      <c r="D35" s="64"/>
      <c r="E35" s="65"/>
    </row>
    <row r="36" spans="1:5" x14ac:dyDescent="0.25">
      <c r="A36" s="71"/>
      <c r="B36" s="62"/>
      <c r="C36" s="10"/>
      <c r="D36" s="62"/>
      <c r="E36" s="63"/>
    </row>
    <row r="37" spans="1:5" x14ac:dyDescent="0.25">
      <c r="A37" s="72"/>
      <c r="B37" s="64"/>
      <c r="C37" s="11"/>
      <c r="D37" s="64"/>
      <c r="E37" s="65"/>
    </row>
    <row r="38" spans="1:5" x14ac:dyDescent="0.25">
      <c r="A38" s="71"/>
      <c r="B38" s="62"/>
      <c r="C38" s="10"/>
      <c r="D38" s="62"/>
      <c r="E38" s="63"/>
    </row>
    <row r="39" spans="1:5" x14ac:dyDescent="0.25">
      <c r="A39" s="72"/>
      <c r="B39" s="64"/>
      <c r="C39" s="11"/>
      <c r="D39" s="64"/>
      <c r="E39" s="65"/>
    </row>
    <row r="40" spans="1:5" x14ac:dyDescent="0.25">
      <c r="A40" s="71"/>
      <c r="B40" s="62"/>
      <c r="C40" s="10"/>
      <c r="D40" s="62"/>
      <c r="E40" s="63"/>
    </row>
    <row r="41" spans="1:5" x14ac:dyDescent="0.25">
      <c r="A41" s="72"/>
      <c r="B41" s="64"/>
      <c r="C41" s="11"/>
      <c r="D41" s="64"/>
      <c r="E41" s="65"/>
    </row>
    <row r="42" spans="1:5" x14ac:dyDescent="0.25">
      <c r="A42" s="71"/>
      <c r="B42" s="62"/>
      <c r="C42" s="10"/>
      <c r="D42" s="62"/>
      <c r="E42" s="63"/>
    </row>
    <row r="43" spans="1:5" x14ac:dyDescent="0.25">
      <c r="A43" s="72"/>
      <c r="B43" s="64"/>
      <c r="C43" s="11"/>
      <c r="D43" s="64"/>
      <c r="E43" s="65"/>
    </row>
    <row r="44" spans="1:5" x14ac:dyDescent="0.25">
      <c r="A44" s="71"/>
      <c r="B44" s="62"/>
      <c r="C44" s="10"/>
      <c r="D44" s="62"/>
      <c r="E44" s="63"/>
    </row>
    <row r="45" spans="1:5" x14ac:dyDescent="0.25">
      <c r="A45" s="72"/>
      <c r="B45" s="64"/>
      <c r="C45" s="11"/>
      <c r="D45" s="64"/>
      <c r="E45" s="65"/>
    </row>
    <row r="46" spans="1:5" x14ac:dyDescent="0.25">
      <c r="A46" s="71"/>
      <c r="B46" s="62"/>
      <c r="C46" s="10"/>
      <c r="D46" s="62"/>
      <c r="E46" s="63"/>
    </row>
    <row r="47" spans="1:5" x14ac:dyDescent="0.25">
      <c r="A47" s="72"/>
      <c r="B47" s="64"/>
      <c r="C47" s="11"/>
      <c r="D47" s="64"/>
      <c r="E47" s="65"/>
    </row>
    <row r="48" spans="1:5" x14ac:dyDescent="0.25">
      <c r="A48" s="71"/>
      <c r="B48" s="62"/>
      <c r="C48" s="10"/>
      <c r="D48" s="62"/>
      <c r="E48" s="63"/>
    </row>
    <row r="49" spans="1:5" x14ac:dyDescent="0.25">
      <c r="A49" s="72"/>
      <c r="B49" s="64"/>
      <c r="C49" s="11"/>
      <c r="D49" s="64"/>
      <c r="E49" s="65"/>
    </row>
    <row r="50" spans="1:5" x14ac:dyDescent="0.25">
      <c r="A50" s="73"/>
      <c r="B50" s="62"/>
      <c r="C50" s="10"/>
      <c r="D50" s="62"/>
      <c r="E50" s="63"/>
    </row>
    <row r="51" spans="1:5" x14ac:dyDescent="0.25">
      <c r="A51" s="72"/>
      <c r="B51" s="64"/>
      <c r="C51" s="11"/>
      <c r="D51" s="64"/>
      <c r="E51" s="65"/>
    </row>
    <row r="52" spans="1:5" x14ac:dyDescent="0.25">
      <c r="A52" s="71"/>
      <c r="B52" s="62"/>
      <c r="C52" s="10"/>
      <c r="D52" s="62"/>
      <c r="E52" s="63"/>
    </row>
    <row r="53" spans="1:5" x14ac:dyDescent="0.25">
      <c r="A53" s="72"/>
      <c r="B53" s="64"/>
      <c r="C53" s="11"/>
      <c r="D53" s="64"/>
      <c r="E53" s="65"/>
    </row>
    <row r="54" spans="1:5" x14ac:dyDescent="0.25">
      <c r="A54" s="71"/>
      <c r="B54" s="62"/>
      <c r="C54" s="10"/>
      <c r="D54" s="62"/>
      <c r="E54" s="63"/>
    </row>
    <row r="55" spans="1:5" x14ac:dyDescent="0.25">
      <c r="A55" s="72"/>
      <c r="B55" s="64"/>
      <c r="C55" s="11"/>
      <c r="D55" s="64"/>
      <c r="E55" s="65"/>
    </row>
    <row r="56" spans="1:5" x14ac:dyDescent="0.25">
      <c r="A56" s="71"/>
      <c r="B56" s="62"/>
      <c r="C56" s="10"/>
      <c r="D56" s="62"/>
      <c r="E56" s="63"/>
    </row>
    <row r="57" spans="1:5" x14ac:dyDescent="0.25">
      <c r="A57" s="72"/>
      <c r="B57" s="64"/>
      <c r="C57" s="11"/>
      <c r="D57" s="64"/>
      <c r="E57" s="65"/>
    </row>
    <row r="58" spans="1:5" x14ac:dyDescent="0.25">
      <c r="A58" s="71"/>
      <c r="B58" s="62"/>
      <c r="C58" s="10"/>
      <c r="D58" s="62"/>
      <c r="E58" s="63"/>
    </row>
    <row r="59" spans="1:5" x14ac:dyDescent="0.25">
      <c r="A59" s="72"/>
      <c r="B59" s="64"/>
      <c r="C59" s="11"/>
      <c r="D59" s="64"/>
      <c r="E59" s="65"/>
    </row>
    <row r="60" spans="1:5" x14ac:dyDescent="0.25">
      <c r="A60" s="71"/>
      <c r="B60" s="62"/>
      <c r="C60" s="10"/>
      <c r="D60" s="62"/>
      <c r="E60" s="63"/>
    </row>
    <row r="61" spans="1:5" x14ac:dyDescent="0.25">
      <c r="A61" s="72"/>
      <c r="B61" s="64"/>
      <c r="C61" s="11"/>
      <c r="D61" s="64"/>
      <c r="E61" s="65"/>
    </row>
    <row r="62" spans="1:5" x14ac:dyDescent="0.25">
      <c r="A62" s="71"/>
      <c r="B62" s="62"/>
      <c r="C62" s="10"/>
      <c r="D62" s="62"/>
      <c r="E62" s="63"/>
    </row>
    <row r="63" spans="1:5" x14ac:dyDescent="0.25">
      <c r="A63" s="72"/>
      <c r="B63" s="64"/>
      <c r="C63" s="11"/>
      <c r="D63" s="64"/>
      <c r="E63" s="65"/>
    </row>
    <row r="64" spans="1:5" x14ac:dyDescent="0.25">
      <c r="A64" s="71"/>
      <c r="B64" s="62"/>
      <c r="C64" s="10"/>
      <c r="D64" s="62"/>
      <c r="E64" s="63"/>
    </row>
    <row r="65" spans="1:5" x14ac:dyDescent="0.25">
      <c r="A65" s="72"/>
      <c r="B65" s="64"/>
      <c r="C65" s="11"/>
      <c r="D65" s="64"/>
      <c r="E65" s="65"/>
    </row>
    <row r="66" spans="1:5" x14ac:dyDescent="0.25">
      <c r="A66" s="71"/>
      <c r="B66" s="62"/>
      <c r="C66" s="10"/>
      <c r="D66" s="62"/>
      <c r="E66" s="63"/>
    </row>
    <row r="67" spans="1:5" x14ac:dyDescent="0.25">
      <c r="A67" s="72"/>
      <c r="B67" s="64"/>
      <c r="C67" s="11"/>
      <c r="D67" s="64"/>
      <c r="E67" s="65"/>
    </row>
    <row r="68" spans="1:5" x14ac:dyDescent="0.25">
      <c r="A68" s="71"/>
      <c r="B68" s="62"/>
      <c r="C68" s="10"/>
      <c r="D68" s="62"/>
      <c r="E68" s="63"/>
    </row>
    <row r="69" spans="1:5" x14ac:dyDescent="0.25">
      <c r="A69" s="72"/>
      <c r="B69" s="64"/>
      <c r="C69" s="11"/>
      <c r="D69" s="64"/>
      <c r="E69" s="65"/>
    </row>
    <row r="70" spans="1:5" x14ac:dyDescent="0.25">
      <c r="A70" s="71"/>
      <c r="B70" s="62"/>
      <c r="C70" s="10"/>
      <c r="D70" s="62"/>
      <c r="E70" s="63"/>
    </row>
    <row r="71" spans="1:5" x14ac:dyDescent="0.25">
      <c r="A71" s="72"/>
      <c r="B71" s="64"/>
      <c r="C71" s="11"/>
      <c r="D71" s="64"/>
      <c r="E71" s="65"/>
    </row>
    <row r="72" spans="1:5" x14ac:dyDescent="0.25">
      <c r="A72" s="71"/>
      <c r="B72" s="62"/>
      <c r="C72" s="10"/>
      <c r="D72" s="62"/>
      <c r="E72" s="63"/>
    </row>
    <row r="73" spans="1:5" x14ac:dyDescent="0.25">
      <c r="A73" s="72"/>
      <c r="B73" s="64"/>
      <c r="C73" s="11"/>
      <c r="D73" s="64"/>
      <c r="E73" s="65"/>
    </row>
    <row r="74" spans="1:5" x14ac:dyDescent="0.25">
      <c r="A74" s="71"/>
      <c r="B74" s="62"/>
      <c r="C74" s="10"/>
      <c r="D74" s="62"/>
      <c r="E74" s="63"/>
    </row>
    <row r="75" spans="1:5" x14ac:dyDescent="0.25">
      <c r="A75" s="72"/>
      <c r="B75" s="64"/>
      <c r="C75" s="11"/>
      <c r="D75" s="64"/>
      <c r="E75" s="65"/>
    </row>
    <row r="76" spans="1:5" x14ac:dyDescent="0.25">
      <c r="A76" s="71"/>
      <c r="B76" s="62"/>
      <c r="C76" s="10"/>
      <c r="D76" s="62"/>
      <c r="E76" s="63"/>
    </row>
    <row r="77" spans="1:5" x14ac:dyDescent="0.25">
      <c r="A77" s="72"/>
      <c r="B77" s="64"/>
      <c r="C77" s="11"/>
      <c r="D77" s="64"/>
      <c r="E77" s="65"/>
    </row>
    <row r="78" spans="1:5" x14ac:dyDescent="0.25">
      <c r="A78" s="71"/>
      <c r="B78" s="62"/>
      <c r="C78" s="10"/>
      <c r="D78" s="62"/>
      <c r="E78" s="63"/>
    </row>
    <row r="79" spans="1:5" x14ac:dyDescent="0.25">
      <c r="A79" s="72"/>
      <c r="B79" s="64"/>
      <c r="C79" s="11"/>
      <c r="D79" s="64"/>
      <c r="E79" s="65"/>
    </row>
    <row r="80" spans="1:5" x14ac:dyDescent="0.25">
      <c r="A80" s="71"/>
      <c r="B80" s="62"/>
      <c r="C80" s="10"/>
      <c r="D80" s="62"/>
      <c r="E80" s="63"/>
    </row>
    <row r="81" spans="1:5" x14ac:dyDescent="0.25">
      <c r="A81" s="72"/>
      <c r="B81" s="64"/>
      <c r="C81" s="11"/>
      <c r="D81" s="64"/>
      <c r="E81" s="65"/>
    </row>
    <row r="82" spans="1:5" x14ac:dyDescent="0.25">
      <c r="A82" s="71"/>
      <c r="B82" s="62"/>
      <c r="C82" s="10"/>
      <c r="D82" s="62"/>
      <c r="E82" s="63"/>
    </row>
    <row r="83" spans="1:5" x14ac:dyDescent="0.25">
      <c r="A83" s="72"/>
      <c r="B83" s="64"/>
      <c r="C83" s="11"/>
      <c r="D83" s="64"/>
      <c r="E83" s="65"/>
    </row>
    <row r="84" spans="1:5" x14ac:dyDescent="0.25">
      <c r="A84" s="71"/>
      <c r="B84" s="62"/>
      <c r="C84" s="10"/>
      <c r="D84" s="62"/>
      <c r="E84" s="63"/>
    </row>
    <row r="85" spans="1:5" x14ac:dyDescent="0.25">
      <c r="A85" s="72"/>
      <c r="B85" s="64"/>
      <c r="C85" s="11"/>
      <c r="D85" s="64"/>
      <c r="E85" s="65"/>
    </row>
    <row r="86" spans="1:5" x14ac:dyDescent="0.25">
      <c r="A86" s="71"/>
      <c r="B86" s="62"/>
      <c r="C86" s="10"/>
      <c r="D86" s="62"/>
      <c r="E86" s="63"/>
    </row>
    <row r="87" spans="1:5" x14ac:dyDescent="0.25">
      <c r="A87" s="72"/>
      <c r="B87" s="64"/>
      <c r="C87" s="11"/>
      <c r="D87" s="64"/>
      <c r="E87" s="65"/>
    </row>
    <row r="88" spans="1:5" x14ac:dyDescent="0.25">
      <c r="A88" s="71"/>
      <c r="B88" s="62"/>
      <c r="C88" s="10"/>
      <c r="D88" s="62"/>
      <c r="E88" s="63"/>
    </row>
    <row r="89" spans="1:5" x14ac:dyDescent="0.25">
      <c r="A89" s="72"/>
      <c r="B89" s="64"/>
      <c r="C89" s="11"/>
      <c r="D89" s="64"/>
      <c r="E89" s="65"/>
    </row>
    <row r="90" spans="1:5" x14ac:dyDescent="0.25">
      <c r="A90" s="71"/>
      <c r="B90" s="62"/>
      <c r="C90" s="10"/>
      <c r="D90" s="62"/>
      <c r="E90" s="63"/>
    </row>
    <row r="91" spans="1:5" x14ac:dyDescent="0.25">
      <c r="A91" s="72"/>
      <c r="B91" s="64"/>
      <c r="C91" s="11"/>
      <c r="D91" s="64"/>
      <c r="E91" s="65"/>
    </row>
    <row r="92" spans="1:5" x14ac:dyDescent="0.25">
      <c r="A92" s="71"/>
      <c r="B92" s="62"/>
      <c r="C92" s="10"/>
      <c r="D92" s="62"/>
      <c r="E92" s="63"/>
    </row>
    <row r="93" spans="1:5" x14ac:dyDescent="0.25">
      <c r="A93" s="72"/>
      <c r="B93" s="64"/>
      <c r="C93" s="11"/>
      <c r="D93" s="64"/>
      <c r="E93" s="65"/>
    </row>
    <row r="94" spans="1:5" x14ac:dyDescent="0.25">
      <c r="A94" s="71"/>
      <c r="B94" s="62"/>
      <c r="C94" s="10"/>
      <c r="D94" s="62"/>
      <c r="E94" s="63"/>
    </row>
    <row r="95" spans="1:5" x14ac:dyDescent="0.25">
      <c r="A95" s="72"/>
      <c r="B95" s="64"/>
      <c r="C95" s="11"/>
      <c r="D95" s="64"/>
      <c r="E95" s="65"/>
    </row>
    <row r="96" spans="1:5" x14ac:dyDescent="0.25">
      <c r="A96" s="71"/>
      <c r="B96" s="62"/>
      <c r="C96" s="10"/>
      <c r="D96" s="62"/>
      <c r="E96" s="63"/>
    </row>
    <row r="97" spans="1:5" x14ac:dyDescent="0.25">
      <c r="A97" s="72"/>
      <c r="B97" s="64"/>
      <c r="C97" s="11"/>
      <c r="D97" s="64"/>
      <c r="E97" s="65"/>
    </row>
    <row r="98" spans="1:5" x14ac:dyDescent="0.25">
      <c r="A98" s="71"/>
      <c r="B98" s="62"/>
      <c r="C98" s="10"/>
      <c r="D98" s="62"/>
      <c r="E98" s="63"/>
    </row>
    <row r="99" spans="1:5" x14ac:dyDescent="0.25">
      <c r="A99" s="72"/>
      <c r="B99" s="64"/>
      <c r="C99" s="11"/>
      <c r="D99" s="64"/>
      <c r="E99" s="65"/>
    </row>
    <row r="100" spans="1:5" x14ac:dyDescent="0.25">
      <c r="A100" s="71"/>
      <c r="B100" s="62"/>
      <c r="C100" s="10"/>
      <c r="D100" s="62"/>
      <c r="E100" s="63"/>
    </row>
    <row r="101" spans="1:5" x14ac:dyDescent="0.25">
      <c r="A101" s="72"/>
      <c r="B101" s="64"/>
      <c r="C101" s="11"/>
      <c r="D101" s="64"/>
      <c r="E101" s="65"/>
    </row>
    <row r="102" spans="1:5" x14ac:dyDescent="0.25">
      <c r="A102" s="71"/>
      <c r="B102" s="62"/>
      <c r="C102" s="10"/>
      <c r="D102" s="62"/>
      <c r="E102" s="63"/>
    </row>
    <row r="103" spans="1:5" x14ac:dyDescent="0.25">
      <c r="A103" s="72"/>
      <c r="B103" s="64"/>
      <c r="C103" s="11"/>
      <c r="D103" s="64"/>
      <c r="E103" s="65"/>
    </row>
    <row r="104" spans="1:5" x14ac:dyDescent="0.25">
      <c r="A104" s="71"/>
      <c r="B104" s="62"/>
      <c r="C104" s="10"/>
      <c r="D104" s="62"/>
      <c r="E104" s="63"/>
    </row>
    <row r="105" spans="1:5" x14ac:dyDescent="0.25">
      <c r="A105" s="72"/>
      <c r="B105" s="64"/>
      <c r="C105" s="11"/>
      <c r="D105" s="64"/>
      <c r="E105" s="65"/>
    </row>
    <row r="106" spans="1:5" x14ac:dyDescent="0.25">
      <c r="A106" s="71"/>
      <c r="B106" s="62"/>
      <c r="C106" s="10"/>
      <c r="D106" s="62"/>
      <c r="E106" s="63"/>
    </row>
    <row r="107" spans="1:5" x14ac:dyDescent="0.25">
      <c r="A107" s="72"/>
      <c r="B107" s="64"/>
      <c r="C107" s="11"/>
      <c r="D107" s="64"/>
      <c r="E107" s="65"/>
    </row>
    <row r="108" spans="1:5" x14ac:dyDescent="0.25">
      <c r="A108" s="71"/>
      <c r="B108" s="62"/>
      <c r="C108" s="10"/>
      <c r="D108" s="62"/>
      <c r="E108" s="63"/>
    </row>
    <row r="109" spans="1:5" x14ac:dyDescent="0.25">
      <c r="A109" s="72"/>
      <c r="B109" s="64"/>
      <c r="C109" s="11"/>
      <c r="D109" s="64"/>
      <c r="E109" s="65"/>
    </row>
    <row r="110" spans="1:5" x14ac:dyDescent="0.25">
      <c r="A110" s="71"/>
      <c r="B110" s="62"/>
      <c r="C110" s="10"/>
      <c r="D110" s="62"/>
      <c r="E110" s="63"/>
    </row>
    <row r="111" spans="1:5" x14ac:dyDescent="0.25">
      <c r="A111" s="72"/>
      <c r="B111" s="64"/>
      <c r="C111" s="11"/>
      <c r="D111" s="64"/>
      <c r="E111" s="65"/>
    </row>
    <row r="112" spans="1:5" x14ac:dyDescent="0.25">
      <c r="A112" s="71"/>
      <c r="B112" s="62"/>
      <c r="C112" s="10"/>
      <c r="D112" s="62"/>
      <c r="E112" s="63"/>
    </row>
    <row r="113" spans="1:5" x14ac:dyDescent="0.25">
      <c r="A113" s="72"/>
      <c r="B113" s="64"/>
      <c r="C113" s="11"/>
      <c r="D113" s="64"/>
      <c r="E113" s="65"/>
    </row>
    <row r="114" spans="1:5" x14ac:dyDescent="0.25">
      <c r="A114" s="71"/>
      <c r="B114" s="62"/>
      <c r="C114" s="10"/>
      <c r="D114" s="62"/>
      <c r="E114" s="63"/>
    </row>
    <row r="115" spans="1:5" x14ac:dyDescent="0.25">
      <c r="A115" s="72"/>
      <c r="B115" s="64"/>
      <c r="C115" s="11"/>
      <c r="D115" s="64"/>
      <c r="E115" s="65"/>
    </row>
    <row r="116" spans="1:5" x14ac:dyDescent="0.25">
      <c r="A116" s="71"/>
      <c r="B116" s="62"/>
      <c r="C116" s="10"/>
      <c r="D116" s="62"/>
      <c r="E116" s="63"/>
    </row>
    <row r="117" spans="1:5" x14ac:dyDescent="0.25">
      <c r="A117" s="72"/>
      <c r="B117" s="64"/>
      <c r="C117" s="11"/>
      <c r="D117" s="64"/>
      <c r="E117" s="65"/>
    </row>
    <row r="118" spans="1:5" x14ac:dyDescent="0.25">
      <c r="A118" s="71"/>
      <c r="B118" s="62"/>
      <c r="C118" s="10"/>
      <c r="D118" s="62"/>
      <c r="E118" s="63"/>
    </row>
    <row r="119" spans="1:5" x14ac:dyDescent="0.25">
      <c r="A119" s="72"/>
      <c r="B119" s="64"/>
      <c r="C119" s="11"/>
      <c r="D119" s="64"/>
      <c r="E119" s="65"/>
    </row>
    <row r="120" spans="1:5" ht="15.75" thickBot="1" x14ac:dyDescent="0.3">
      <c r="A120" s="74"/>
      <c r="B120" s="66"/>
      <c r="C120" s="12"/>
      <c r="D120" s="66"/>
      <c r="E120" s="67"/>
    </row>
    <row r="121" spans="1:5" ht="15.75" thickBot="1" x14ac:dyDescent="0.3">
      <c r="A121" s="75" t="s">
        <v>47</v>
      </c>
      <c r="B121" s="70"/>
      <c r="C121" s="13"/>
      <c r="D121" s="68">
        <f>SUM(D2:D120)</f>
        <v>97</v>
      </c>
      <c r="E121" s="6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N83"/>
  <sheetViews>
    <sheetView showGridLines="0" zoomScaleNormal="100" workbookViewId="0">
      <selection activeCell="B72" sqref="B72"/>
    </sheetView>
  </sheetViews>
  <sheetFormatPr baseColWidth="10" defaultColWidth="11.42578125" defaultRowHeight="15" x14ac:dyDescent="0.25"/>
  <cols>
    <col min="1" max="1" width="21.42578125" bestFit="1" customWidth="1"/>
    <col min="2" max="2" width="14.42578125" customWidth="1"/>
    <col min="3" max="3" width="15.28515625" bestFit="1" customWidth="1"/>
    <col min="4" max="4" width="13.5703125" customWidth="1"/>
    <col min="5" max="5" width="14.28515625" customWidth="1"/>
    <col min="11" max="11" width="4.7109375" customWidth="1"/>
    <col min="12" max="12" width="11.28515625" customWidth="1"/>
    <col min="13" max="13" width="8" customWidth="1"/>
    <col min="14" max="14" width="8.140625" customWidth="1"/>
  </cols>
  <sheetData>
    <row r="1" spans="1:14" ht="54.75" customHeight="1" thickBot="1" x14ac:dyDescent="0.3">
      <c r="A1" s="158" t="s">
        <v>223</v>
      </c>
      <c r="B1" s="158"/>
      <c r="C1" s="158"/>
      <c r="D1" s="158"/>
      <c r="E1" s="158"/>
      <c r="F1" s="158"/>
      <c r="G1" s="158"/>
      <c r="H1" s="158"/>
      <c r="I1" s="158"/>
      <c r="J1" s="158"/>
      <c r="K1" s="158"/>
      <c r="L1" s="158"/>
      <c r="M1" s="158"/>
      <c r="N1" s="158"/>
    </row>
    <row r="2" spans="1:14" ht="15.75" thickBot="1" x14ac:dyDescent="0.3">
      <c r="A2" s="134" t="s">
        <v>48</v>
      </c>
      <c r="B2" s="135"/>
      <c r="K2" s="136" t="s">
        <v>49</v>
      </c>
      <c r="L2" s="137"/>
      <c r="M2" s="137"/>
      <c r="N2" s="138"/>
    </row>
    <row r="3" spans="1:14" ht="30.75" thickBot="1" x14ac:dyDescent="0.3">
      <c r="A3" s="34" t="s">
        <v>50</v>
      </c>
      <c r="B3" s="45">
        <v>46146</v>
      </c>
      <c r="K3" s="53" t="s">
        <v>51</v>
      </c>
      <c r="L3" s="54" t="s">
        <v>52</v>
      </c>
      <c r="M3" s="54" t="s">
        <v>53</v>
      </c>
      <c r="N3" s="55" t="s">
        <v>54</v>
      </c>
    </row>
    <row r="4" spans="1:14" ht="15.75" thickBot="1" x14ac:dyDescent="0.3">
      <c r="A4" s="35" t="s">
        <v>55</v>
      </c>
      <c r="B4" s="45">
        <v>46157</v>
      </c>
      <c r="K4" s="61">
        <v>1</v>
      </c>
      <c r="L4" s="76">
        <v>40.5</v>
      </c>
      <c r="M4" s="76">
        <v>42</v>
      </c>
      <c r="N4" s="76">
        <v>3</v>
      </c>
    </row>
    <row r="5" spans="1:14" ht="30.75" thickBot="1" x14ac:dyDescent="0.3">
      <c r="A5" s="36" t="s">
        <v>56</v>
      </c>
      <c r="B5" s="15">
        <v>10</v>
      </c>
      <c r="K5" s="61">
        <v>2</v>
      </c>
      <c r="L5" s="76">
        <v>36</v>
      </c>
      <c r="M5" s="76">
        <v>38</v>
      </c>
      <c r="N5" s="76">
        <v>4</v>
      </c>
    </row>
    <row r="6" spans="1:14" ht="15.75" thickBot="1" x14ac:dyDescent="0.3">
      <c r="A6" s="37" t="s">
        <v>57</v>
      </c>
      <c r="B6" s="48">
        <v>45</v>
      </c>
      <c r="K6" s="61">
        <v>3</v>
      </c>
      <c r="L6" s="76">
        <v>31.5</v>
      </c>
      <c r="M6" s="76">
        <v>31.5</v>
      </c>
      <c r="N6" s="76">
        <v>6.5</v>
      </c>
    </row>
    <row r="7" spans="1:14" ht="15.75" thickBot="1" x14ac:dyDescent="0.3">
      <c r="A7" s="38" t="s">
        <v>58</v>
      </c>
      <c r="B7" s="40">
        <v>4.5</v>
      </c>
      <c r="K7" s="61">
        <v>4</v>
      </c>
      <c r="L7" s="76">
        <v>27</v>
      </c>
      <c r="M7" s="76">
        <v>26</v>
      </c>
      <c r="N7" s="76">
        <v>5.5</v>
      </c>
    </row>
    <row r="8" spans="1:14" ht="15.75" thickBot="1" x14ac:dyDescent="0.3">
      <c r="K8" s="61">
        <v>5</v>
      </c>
      <c r="L8" s="76">
        <v>22.5</v>
      </c>
      <c r="M8" s="76">
        <v>22.5</v>
      </c>
      <c r="N8" s="76">
        <v>3.5</v>
      </c>
    </row>
    <row r="9" spans="1:14" ht="15.75" thickBot="1" x14ac:dyDescent="0.3">
      <c r="A9" t="s">
        <v>210</v>
      </c>
      <c r="B9" s="46">
        <v>10</v>
      </c>
      <c r="K9" s="61">
        <v>6</v>
      </c>
      <c r="L9" s="76">
        <v>18</v>
      </c>
      <c r="M9" s="76">
        <v>17</v>
      </c>
      <c r="N9" s="76">
        <v>5.5</v>
      </c>
    </row>
    <row r="10" spans="1:14" ht="15.75" thickBot="1" x14ac:dyDescent="0.3">
      <c r="A10" s="50" t="s">
        <v>59</v>
      </c>
      <c r="B10" s="51">
        <v>0.5</v>
      </c>
      <c r="K10" s="61">
        <v>7</v>
      </c>
      <c r="L10" s="76">
        <v>13.5</v>
      </c>
      <c r="M10" s="76">
        <v>14</v>
      </c>
      <c r="N10" s="76">
        <v>3</v>
      </c>
    </row>
    <row r="11" spans="1:14" ht="15.75" thickBot="1" x14ac:dyDescent="0.3">
      <c r="A11" s="50" t="s">
        <v>60</v>
      </c>
      <c r="B11" s="51">
        <v>0.25</v>
      </c>
      <c r="K11" s="61">
        <v>8</v>
      </c>
      <c r="L11" s="76">
        <v>9</v>
      </c>
      <c r="M11" s="76">
        <v>8</v>
      </c>
      <c r="N11" s="76">
        <v>6</v>
      </c>
    </row>
    <row r="12" spans="1:14" ht="15.75" thickBot="1" x14ac:dyDescent="0.3">
      <c r="A12" s="50" t="s">
        <v>61</v>
      </c>
      <c r="B12" s="51">
        <v>0.25</v>
      </c>
      <c r="K12" s="61">
        <v>9</v>
      </c>
      <c r="L12" s="76">
        <v>4.5</v>
      </c>
      <c r="M12" s="76">
        <v>4</v>
      </c>
      <c r="N12" s="76">
        <v>4</v>
      </c>
    </row>
    <row r="13" spans="1:14" ht="15.75" thickBot="1" x14ac:dyDescent="0.3">
      <c r="A13" t="s">
        <v>62</v>
      </c>
      <c r="B13">
        <v>0</v>
      </c>
      <c r="K13" s="61">
        <v>10</v>
      </c>
      <c r="L13" s="76">
        <v>0</v>
      </c>
      <c r="M13" s="76">
        <v>0</v>
      </c>
      <c r="N13" s="76">
        <v>4</v>
      </c>
    </row>
    <row r="14" spans="1:14" x14ac:dyDescent="0.25">
      <c r="A14" s="50" t="s">
        <v>63</v>
      </c>
      <c r="B14" s="47">
        <f>B9-B10-B11-B12-B13</f>
        <v>9</v>
      </c>
    </row>
    <row r="24" spans="1:14" ht="54.75" customHeight="1" thickBot="1" x14ac:dyDescent="0.3">
      <c r="A24" s="158" t="s">
        <v>39</v>
      </c>
      <c r="B24" s="158"/>
      <c r="C24" s="158"/>
      <c r="D24" s="158"/>
      <c r="E24" s="158"/>
      <c r="F24" s="158"/>
      <c r="G24" s="158"/>
      <c r="H24" s="158"/>
      <c r="I24" s="158"/>
      <c r="J24" s="158"/>
      <c r="K24" s="158"/>
      <c r="L24" s="158"/>
      <c r="M24" s="158"/>
      <c r="N24" s="158"/>
    </row>
    <row r="25" spans="1:14" ht="15.75" thickBot="1" x14ac:dyDescent="0.3">
      <c r="A25" s="134" t="s">
        <v>48</v>
      </c>
      <c r="B25" s="135"/>
      <c r="K25" s="136" t="s">
        <v>49</v>
      </c>
      <c r="L25" s="137"/>
      <c r="M25" s="137"/>
      <c r="N25" s="138"/>
    </row>
    <row r="26" spans="1:14" ht="30.75" thickBot="1" x14ac:dyDescent="0.3">
      <c r="A26" s="34" t="s">
        <v>50</v>
      </c>
      <c r="B26" s="45">
        <v>46146</v>
      </c>
      <c r="K26" s="53" t="s">
        <v>51</v>
      </c>
      <c r="L26" s="54" t="s">
        <v>52</v>
      </c>
      <c r="M26" s="54" t="s">
        <v>53</v>
      </c>
      <c r="N26" s="55" t="s">
        <v>54</v>
      </c>
    </row>
    <row r="27" spans="1:14" ht="15.75" thickBot="1" x14ac:dyDescent="0.3">
      <c r="A27" s="35" t="s">
        <v>55</v>
      </c>
      <c r="B27" s="45">
        <v>46157</v>
      </c>
      <c r="K27" s="61">
        <v>1</v>
      </c>
      <c r="L27" s="76">
        <v>36</v>
      </c>
      <c r="M27" s="76">
        <v>36</v>
      </c>
      <c r="N27" s="76">
        <v>4</v>
      </c>
    </row>
    <row r="28" spans="1:14" ht="30.75" thickBot="1" x14ac:dyDescent="0.3">
      <c r="A28" s="36" t="s">
        <v>56</v>
      </c>
      <c r="B28" s="15">
        <v>10</v>
      </c>
      <c r="K28" s="61">
        <v>2</v>
      </c>
      <c r="L28" s="76">
        <v>32</v>
      </c>
      <c r="M28" s="76">
        <v>33</v>
      </c>
      <c r="N28" s="76">
        <v>3</v>
      </c>
    </row>
    <row r="29" spans="1:14" ht="15.75" thickBot="1" x14ac:dyDescent="0.3">
      <c r="A29" s="37" t="s">
        <v>57</v>
      </c>
      <c r="B29" s="48">
        <v>40</v>
      </c>
      <c r="K29" s="61">
        <v>3</v>
      </c>
      <c r="L29" s="76">
        <v>28</v>
      </c>
      <c r="M29" s="76">
        <v>28</v>
      </c>
      <c r="N29" s="76">
        <v>5</v>
      </c>
    </row>
    <row r="30" spans="1:14" ht="15.75" thickBot="1" x14ac:dyDescent="0.3">
      <c r="A30" s="38" t="s">
        <v>58</v>
      </c>
      <c r="B30" s="157">
        <v>4</v>
      </c>
      <c r="K30" s="61">
        <v>4</v>
      </c>
      <c r="L30" s="76">
        <v>24</v>
      </c>
      <c r="M30" s="76">
        <v>25</v>
      </c>
      <c r="N30" s="76">
        <v>3</v>
      </c>
    </row>
    <row r="31" spans="1:14" ht="15.75" thickBot="1" x14ac:dyDescent="0.3">
      <c r="K31" s="61">
        <v>5</v>
      </c>
      <c r="L31" s="76">
        <v>20</v>
      </c>
      <c r="M31" s="76">
        <v>20</v>
      </c>
      <c r="N31" s="76">
        <v>5</v>
      </c>
    </row>
    <row r="32" spans="1:14" ht="15.75" thickBot="1" x14ac:dyDescent="0.3">
      <c r="A32" t="s">
        <v>210</v>
      </c>
      <c r="B32" s="46">
        <v>10</v>
      </c>
      <c r="K32" s="61">
        <v>6</v>
      </c>
      <c r="L32" s="76">
        <v>16</v>
      </c>
      <c r="M32" s="76">
        <v>16</v>
      </c>
      <c r="N32" s="76">
        <v>4</v>
      </c>
    </row>
    <row r="33" spans="1:14" ht="15.75" thickBot="1" x14ac:dyDescent="0.3">
      <c r="A33" s="50" t="s">
        <v>59</v>
      </c>
      <c r="B33" s="51">
        <v>0.5</v>
      </c>
      <c r="K33" s="61">
        <v>7</v>
      </c>
      <c r="L33" s="76">
        <v>12</v>
      </c>
      <c r="M33" s="76">
        <v>11</v>
      </c>
      <c r="N33" s="76">
        <v>5</v>
      </c>
    </row>
    <row r="34" spans="1:14" ht="15.75" thickBot="1" x14ac:dyDescent="0.3">
      <c r="A34" s="50" t="s">
        <v>60</v>
      </c>
      <c r="B34" s="51">
        <v>0.25</v>
      </c>
      <c r="K34" s="61">
        <v>8</v>
      </c>
      <c r="L34" s="76">
        <v>8</v>
      </c>
      <c r="M34" s="76">
        <v>8.5</v>
      </c>
      <c r="N34" s="76">
        <v>2.5</v>
      </c>
    </row>
    <row r="35" spans="1:14" ht="15.75" thickBot="1" x14ac:dyDescent="0.3">
      <c r="A35" s="50" t="s">
        <v>61</v>
      </c>
      <c r="B35" s="51">
        <v>0.25</v>
      </c>
      <c r="K35" s="61">
        <v>9</v>
      </c>
      <c r="L35" s="76">
        <v>4</v>
      </c>
      <c r="M35" s="76">
        <v>4</v>
      </c>
      <c r="N35" s="76">
        <v>4.5</v>
      </c>
    </row>
    <row r="36" spans="1:14" ht="15.75" thickBot="1" x14ac:dyDescent="0.3">
      <c r="A36" t="s">
        <v>62</v>
      </c>
      <c r="B36">
        <v>0</v>
      </c>
      <c r="K36" s="61">
        <v>10</v>
      </c>
      <c r="L36" s="76">
        <v>0</v>
      </c>
      <c r="M36" s="76">
        <v>0</v>
      </c>
      <c r="N36" s="76">
        <v>4</v>
      </c>
    </row>
    <row r="37" spans="1:14" x14ac:dyDescent="0.25">
      <c r="A37" s="50" t="s">
        <v>63</v>
      </c>
      <c r="B37" s="47">
        <f>B32-B33-B34-B35-B36</f>
        <v>9</v>
      </c>
    </row>
    <row r="47" spans="1:14" ht="54.75" customHeight="1" thickBot="1" x14ac:dyDescent="0.3">
      <c r="A47" s="158" t="s">
        <v>40</v>
      </c>
      <c r="B47" s="158"/>
      <c r="C47" s="158"/>
      <c r="D47" s="158"/>
      <c r="E47" s="158"/>
      <c r="F47" s="158"/>
      <c r="G47" s="158"/>
      <c r="H47" s="158"/>
      <c r="I47" s="158"/>
      <c r="J47" s="158"/>
      <c r="K47" s="158"/>
      <c r="L47" s="158"/>
      <c r="M47" s="158"/>
      <c r="N47" s="158"/>
    </row>
    <row r="48" spans="1:14" ht="15.75" thickBot="1" x14ac:dyDescent="0.3">
      <c r="A48" s="134" t="s">
        <v>48</v>
      </c>
      <c r="B48" s="135"/>
      <c r="K48" s="136" t="s">
        <v>49</v>
      </c>
      <c r="L48" s="137"/>
      <c r="M48" s="137"/>
      <c r="N48" s="138"/>
    </row>
    <row r="49" spans="1:14" ht="30.75" thickBot="1" x14ac:dyDescent="0.3">
      <c r="A49" s="34" t="s">
        <v>50</v>
      </c>
      <c r="B49" s="45">
        <v>46146</v>
      </c>
      <c r="K49" s="53" t="s">
        <v>51</v>
      </c>
      <c r="L49" s="54" t="s">
        <v>52</v>
      </c>
      <c r="M49" s="54" t="s">
        <v>53</v>
      </c>
      <c r="N49" s="55" t="s">
        <v>54</v>
      </c>
    </row>
    <row r="50" spans="1:14" ht="15.75" thickBot="1" x14ac:dyDescent="0.3">
      <c r="A50" s="35" t="s">
        <v>55</v>
      </c>
      <c r="B50" s="45">
        <v>46157</v>
      </c>
      <c r="K50" s="61">
        <v>1</v>
      </c>
      <c r="L50" s="76">
        <v>40.5</v>
      </c>
      <c r="M50" s="76">
        <v>43</v>
      </c>
      <c r="N50" s="76">
        <v>2</v>
      </c>
    </row>
    <row r="51" spans="1:14" ht="30.75" thickBot="1" x14ac:dyDescent="0.3">
      <c r="A51" s="36" t="s">
        <v>56</v>
      </c>
      <c r="B51" s="15">
        <v>10</v>
      </c>
      <c r="K51" s="61">
        <v>2</v>
      </c>
      <c r="L51" s="76">
        <v>36</v>
      </c>
      <c r="M51" s="76">
        <v>38</v>
      </c>
      <c r="N51" s="76">
        <v>5</v>
      </c>
    </row>
    <row r="52" spans="1:14" ht="15.75" thickBot="1" x14ac:dyDescent="0.3">
      <c r="A52" s="37" t="s">
        <v>57</v>
      </c>
      <c r="B52" s="48">
        <v>45</v>
      </c>
      <c r="K52" s="61">
        <v>3</v>
      </c>
      <c r="L52" s="76">
        <v>31.5</v>
      </c>
      <c r="M52" s="76">
        <v>31.5</v>
      </c>
      <c r="N52" s="76">
        <v>6.5</v>
      </c>
    </row>
    <row r="53" spans="1:14" ht="15.75" thickBot="1" x14ac:dyDescent="0.3">
      <c r="A53" s="38" t="s">
        <v>58</v>
      </c>
      <c r="B53" s="40">
        <v>4.5</v>
      </c>
      <c r="K53" s="61">
        <v>4</v>
      </c>
      <c r="L53" s="76">
        <v>27</v>
      </c>
      <c r="M53" s="76">
        <v>28</v>
      </c>
      <c r="N53" s="76">
        <v>3.5</v>
      </c>
    </row>
    <row r="54" spans="1:14" ht="15.75" thickBot="1" x14ac:dyDescent="0.3">
      <c r="K54" s="61">
        <v>5</v>
      </c>
      <c r="L54" s="76">
        <v>22.5</v>
      </c>
      <c r="M54" s="76">
        <v>22.5</v>
      </c>
      <c r="N54" s="76">
        <v>5.5</v>
      </c>
    </row>
    <row r="55" spans="1:14" ht="15.75" thickBot="1" x14ac:dyDescent="0.3">
      <c r="A55" t="s">
        <v>210</v>
      </c>
      <c r="B55" s="46">
        <v>10</v>
      </c>
      <c r="K55" s="61">
        <v>6</v>
      </c>
      <c r="L55" s="76">
        <v>18</v>
      </c>
      <c r="M55" s="76">
        <v>20</v>
      </c>
      <c r="N55" s="76">
        <v>2.5</v>
      </c>
    </row>
    <row r="56" spans="1:14" ht="15.75" thickBot="1" x14ac:dyDescent="0.3">
      <c r="A56" s="50" t="s">
        <v>59</v>
      </c>
      <c r="B56" s="51">
        <v>0.5</v>
      </c>
      <c r="K56" s="61">
        <v>7</v>
      </c>
      <c r="L56" s="76">
        <v>13.5</v>
      </c>
      <c r="M56" s="76">
        <v>13.5</v>
      </c>
      <c r="N56" s="76">
        <v>6.5</v>
      </c>
    </row>
    <row r="57" spans="1:14" ht="15.75" thickBot="1" x14ac:dyDescent="0.3">
      <c r="A57" s="50" t="s">
        <v>60</v>
      </c>
      <c r="B57" s="51">
        <v>0.25</v>
      </c>
      <c r="K57" s="61">
        <v>8</v>
      </c>
      <c r="L57" s="76">
        <v>9</v>
      </c>
      <c r="M57" s="76">
        <v>7</v>
      </c>
      <c r="N57" s="76">
        <v>6.5</v>
      </c>
    </row>
    <row r="58" spans="1:14" ht="15.75" thickBot="1" x14ac:dyDescent="0.3">
      <c r="A58" s="50" t="s">
        <v>61</v>
      </c>
      <c r="B58" s="51">
        <v>0.25</v>
      </c>
      <c r="K58" s="61">
        <v>9</v>
      </c>
      <c r="L58" s="76">
        <v>4.5</v>
      </c>
      <c r="M58" s="76">
        <v>4.5</v>
      </c>
      <c r="N58" s="76">
        <v>2.5</v>
      </c>
    </row>
    <row r="59" spans="1:14" ht="15.75" thickBot="1" x14ac:dyDescent="0.3">
      <c r="A59" t="s">
        <v>62</v>
      </c>
      <c r="B59">
        <v>0</v>
      </c>
      <c r="K59" s="61">
        <v>10</v>
      </c>
      <c r="L59" s="76">
        <v>0</v>
      </c>
      <c r="M59" s="76">
        <v>0</v>
      </c>
      <c r="N59" s="76">
        <v>4.5</v>
      </c>
    </row>
    <row r="60" spans="1:14" x14ac:dyDescent="0.25">
      <c r="A60" s="50" t="s">
        <v>63</v>
      </c>
      <c r="B60" s="47">
        <f>B55-B56-B57-B58-B59</f>
        <v>9</v>
      </c>
    </row>
    <row r="70" spans="1:14" ht="54.75" customHeight="1" thickBot="1" x14ac:dyDescent="0.3">
      <c r="A70" s="158" t="s">
        <v>41</v>
      </c>
      <c r="B70" s="158"/>
      <c r="C70" s="158"/>
      <c r="D70" s="158"/>
      <c r="E70" s="158"/>
      <c r="F70" s="158"/>
      <c r="G70" s="158"/>
      <c r="H70" s="158"/>
      <c r="I70" s="158"/>
      <c r="J70" s="158"/>
      <c r="K70" s="158"/>
      <c r="L70" s="158"/>
      <c r="M70" s="158"/>
      <c r="N70" s="158"/>
    </row>
    <row r="71" spans="1:14" ht="15.75" thickBot="1" x14ac:dyDescent="0.3">
      <c r="A71" s="134" t="s">
        <v>48</v>
      </c>
      <c r="B71" s="135"/>
      <c r="K71" s="136" t="s">
        <v>49</v>
      </c>
      <c r="L71" s="137"/>
      <c r="M71" s="137"/>
      <c r="N71" s="138"/>
    </row>
    <row r="72" spans="1:14" ht="30.75" thickBot="1" x14ac:dyDescent="0.3">
      <c r="A72" s="34" t="s">
        <v>50</v>
      </c>
      <c r="B72" s="45">
        <v>46146</v>
      </c>
      <c r="K72" s="53" t="s">
        <v>51</v>
      </c>
      <c r="L72" s="54" t="s">
        <v>52</v>
      </c>
      <c r="M72" s="54" t="s">
        <v>53</v>
      </c>
      <c r="N72" s="55" t="s">
        <v>54</v>
      </c>
    </row>
    <row r="73" spans="1:14" ht="15.75" thickBot="1" x14ac:dyDescent="0.3">
      <c r="A73" s="35" t="s">
        <v>55</v>
      </c>
      <c r="B73" s="45">
        <v>46157</v>
      </c>
      <c r="K73" s="61">
        <v>1</v>
      </c>
      <c r="L73" s="76">
        <v>36</v>
      </c>
      <c r="M73" s="76">
        <v>36</v>
      </c>
      <c r="N73" s="76">
        <v>4</v>
      </c>
    </row>
    <row r="74" spans="1:14" ht="30.75" thickBot="1" x14ac:dyDescent="0.3">
      <c r="A74" s="36" t="s">
        <v>56</v>
      </c>
      <c r="B74" s="15">
        <v>10</v>
      </c>
      <c r="K74" s="61">
        <v>2</v>
      </c>
      <c r="L74" s="76">
        <v>32</v>
      </c>
      <c r="M74" s="76">
        <v>31</v>
      </c>
      <c r="N74" s="76">
        <v>5</v>
      </c>
    </row>
    <row r="75" spans="1:14" ht="15.75" thickBot="1" x14ac:dyDescent="0.3">
      <c r="A75" s="37" t="s">
        <v>57</v>
      </c>
      <c r="B75" s="48">
        <v>40</v>
      </c>
      <c r="K75" s="61">
        <v>3</v>
      </c>
      <c r="L75" s="76">
        <v>28</v>
      </c>
      <c r="M75" s="76">
        <v>28</v>
      </c>
      <c r="N75" s="76">
        <v>3</v>
      </c>
    </row>
    <row r="76" spans="1:14" ht="15.75" thickBot="1" x14ac:dyDescent="0.3">
      <c r="A76" s="38" t="s">
        <v>58</v>
      </c>
      <c r="B76" s="157">
        <v>4</v>
      </c>
      <c r="K76" s="61">
        <v>4</v>
      </c>
      <c r="L76" s="76">
        <v>24</v>
      </c>
      <c r="M76" s="76">
        <v>22</v>
      </c>
      <c r="N76" s="76">
        <v>6</v>
      </c>
    </row>
    <row r="77" spans="1:14" ht="15.75" thickBot="1" x14ac:dyDescent="0.3">
      <c r="K77" s="61">
        <v>5</v>
      </c>
      <c r="L77" s="76">
        <v>20</v>
      </c>
      <c r="M77" s="76">
        <v>20</v>
      </c>
      <c r="N77" s="76">
        <v>2</v>
      </c>
    </row>
    <row r="78" spans="1:14" ht="15.75" thickBot="1" x14ac:dyDescent="0.3">
      <c r="A78" t="s">
        <v>210</v>
      </c>
      <c r="B78" s="46">
        <v>10</v>
      </c>
      <c r="K78" s="61">
        <v>6</v>
      </c>
      <c r="L78" s="76">
        <v>16</v>
      </c>
      <c r="M78" s="76">
        <v>16</v>
      </c>
      <c r="N78" s="76">
        <v>4</v>
      </c>
    </row>
    <row r="79" spans="1:14" ht="15.75" thickBot="1" x14ac:dyDescent="0.3">
      <c r="A79" s="50" t="s">
        <v>59</v>
      </c>
      <c r="B79" s="51">
        <v>0.5</v>
      </c>
      <c r="K79" s="61">
        <v>7</v>
      </c>
      <c r="L79" s="76">
        <v>12</v>
      </c>
      <c r="M79" s="76">
        <v>13</v>
      </c>
      <c r="N79" s="76">
        <v>3</v>
      </c>
    </row>
    <row r="80" spans="1:14" ht="15.75" thickBot="1" x14ac:dyDescent="0.3">
      <c r="A80" s="50" t="s">
        <v>60</v>
      </c>
      <c r="B80" s="51">
        <v>0.25</v>
      </c>
      <c r="K80" s="61">
        <v>8</v>
      </c>
      <c r="L80" s="76">
        <v>8</v>
      </c>
      <c r="M80" s="76">
        <v>8</v>
      </c>
      <c r="N80" s="76">
        <v>5</v>
      </c>
    </row>
    <row r="81" spans="1:14" ht="15.75" thickBot="1" x14ac:dyDescent="0.3">
      <c r="A81" s="50" t="s">
        <v>61</v>
      </c>
      <c r="B81" s="51">
        <v>0.25</v>
      </c>
      <c r="K81" s="61">
        <v>9</v>
      </c>
      <c r="L81" s="76">
        <v>4</v>
      </c>
      <c r="M81" s="76">
        <v>3.5</v>
      </c>
      <c r="N81" s="76">
        <v>4.5</v>
      </c>
    </row>
    <row r="82" spans="1:14" ht="15.75" thickBot="1" x14ac:dyDescent="0.3">
      <c r="A82" t="s">
        <v>62</v>
      </c>
      <c r="B82">
        <v>0</v>
      </c>
      <c r="K82" s="61">
        <v>10</v>
      </c>
      <c r="L82" s="76">
        <v>0</v>
      </c>
      <c r="M82" s="76">
        <v>0</v>
      </c>
      <c r="N82" s="76">
        <v>3.5</v>
      </c>
    </row>
    <row r="83" spans="1:14" x14ac:dyDescent="0.25">
      <c r="A83" s="50" t="s">
        <v>63</v>
      </c>
      <c r="B83" s="47">
        <f>B78-B79-B80-B81-B82</f>
        <v>9</v>
      </c>
    </row>
  </sheetData>
  <mergeCells count="12">
    <mergeCell ref="A71:B71"/>
    <mergeCell ref="K71:N71"/>
    <mergeCell ref="A1:N1"/>
    <mergeCell ref="A24:N24"/>
    <mergeCell ref="A47:N47"/>
    <mergeCell ref="A70:N70"/>
    <mergeCell ref="A2:B2"/>
    <mergeCell ref="K2:N2"/>
    <mergeCell ref="A25:B25"/>
    <mergeCell ref="K25:N25"/>
    <mergeCell ref="A48:B48"/>
    <mergeCell ref="K48:N48"/>
  </mergeCells>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I101"/>
  <sheetViews>
    <sheetView showGridLines="0" zoomScale="80" zoomScaleNormal="80" workbookViewId="0">
      <pane ySplit="1" topLeftCell="A2" activePane="bottomLeft" state="frozen"/>
      <selection pane="bottomLeft" activeCell="B10" sqref="B10"/>
    </sheetView>
  </sheetViews>
  <sheetFormatPr baseColWidth="10" defaultColWidth="11.42578125" defaultRowHeight="15" x14ac:dyDescent="0.25"/>
  <cols>
    <col min="1" max="1" width="4" bestFit="1" customWidth="1"/>
    <col min="2" max="2" width="7.28515625" bestFit="1" customWidth="1"/>
    <col min="3" max="3" width="13.42578125" customWidth="1"/>
    <col min="4" max="4" width="17.42578125" style="33" customWidth="1"/>
    <col min="5" max="6" width="73.7109375" customWidth="1"/>
    <col min="7" max="7" width="25.5703125" style="33" customWidth="1"/>
    <col min="8" max="8" width="11.7109375" style="33" customWidth="1"/>
    <col min="9" max="9" width="25" style="33" bestFit="1" customWidth="1"/>
  </cols>
  <sheetData>
    <row r="1" spans="1:9" ht="15.75" x14ac:dyDescent="0.25">
      <c r="A1" s="7" t="s">
        <v>18</v>
      </c>
      <c r="B1" s="16" t="s">
        <v>64</v>
      </c>
      <c r="C1" s="16" t="s">
        <v>65</v>
      </c>
      <c r="D1" s="16" t="s">
        <v>10</v>
      </c>
      <c r="E1" s="16" t="s">
        <v>66</v>
      </c>
      <c r="F1" s="16" t="s">
        <v>67</v>
      </c>
      <c r="G1" s="16" t="s">
        <v>43</v>
      </c>
      <c r="H1" s="16" t="s">
        <v>46</v>
      </c>
      <c r="I1" s="17" t="s">
        <v>68</v>
      </c>
    </row>
    <row r="2" spans="1:9" x14ac:dyDescent="0.25">
      <c r="A2" s="18">
        <v>1</v>
      </c>
      <c r="B2" s="19">
        <v>1</v>
      </c>
      <c r="C2" s="29">
        <v>46147</v>
      </c>
      <c r="D2" s="20" t="s">
        <v>86</v>
      </c>
      <c r="E2" s="21" t="s">
        <v>277</v>
      </c>
      <c r="F2" s="21" t="s">
        <v>278</v>
      </c>
      <c r="G2" s="14" t="s">
        <v>87</v>
      </c>
      <c r="H2" s="14" t="s">
        <v>89</v>
      </c>
      <c r="I2" s="80">
        <v>46148</v>
      </c>
    </row>
    <row r="3" spans="1:9" x14ac:dyDescent="0.25">
      <c r="A3" s="22">
        <v>2</v>
      </c>
      <c r="B3" s="23">
        <v>1</v>
      </c>
      <c r="C3" s="77">
        <v>46154</v>
      </c>
      <c r="D3" s="78" t="s">
        <v>86</v>
      </c>
      <c r="E3" s="24" t="s">
        <v>279</v>
      </c>
      <c r="F3" s="24" t="s">
        <v>280</v>
      </c>
      <c r="G3" s="78" t="s">
        <v>87</v>
      </c>
      <c r="H3" s="78" t="s">
        <v>89</v>
      </c>
      <c r="I3" s="81">
        <v>46155</v>
      </c>
    </row>
    <row r="4" spans="1:9" x14ac:dyDescent="0.25">
      <c r="A4" s="18">
        <v>3</v>
      </c>
      <c r="B4" s="19">
        <v>2</v>
      </c>
      <c r="C4" s="29">
        <v>46162</v>
      </c>
      <c r="D4" s="20" t="s">
        <v>88</v>
      </c>
      <c r="E4" s="21" t="s">
        <v>281</v>
      </c>
      <c r="F4" s="21" t="s">
        <v>282</v>
      </c>
      <c r="G4" s="14" t="s">
        <v>87</v>
      </c>
      <c r="H4" s="14" t="s">
        <v>89</v>
      </c>
      <c r="I4" s="80">
        <v>46164</v>
      </c>
    </row>
    <row r="5" spans="1:9" x14ac:dyDescent="0.25">
      <c r="A5" s="22">
        <v>4</v>
      </c>
      <c r="B5" s="23">
        <v>2</v>
      </c>
      <c r="C5" s="77">
        <v>46168</v>
      </c>
      <c r="D5" s="78" t="s">
        <v>90</v>
      </c>
      <c r="E5" s="24" t="s">
        <v>283</v>
      </c>
      <c r="F5" s="24" t="s">
        <v>284</v>
      </c>
      <c r="G5" s="78" t="s">
        <v>87</v>
      </c>
      <c r="H5" s="78" t="s">
        <v>89</v>
      </c>
      <c r="I5" s="81">
        <v>46170</v>
      </c>
    </row>
    <row r="6" spans="1:9" x14ac:dyDescent="0.25">
      <c r="A6" s="18">
        <v>5</v>
      </c>
      <c r="B6" s="19">
        <v>3</v>
      </c>
      <c r="C6" s="29">
        <v>46175</v>
      </c>
      <c r="D6" s="20" t="s">
        <v>86</v>
      </c>
      <c r="E6" s="21" t="s">
        <v>285</v>
      </c>
      <c r="F6" s="21" t="s">
        <v>286</v>
      </c>
      <c r="G6" s="14" t="s">
        <v>87</v>
      </c>
      <c r="H6" s="14" t="s">
        <v>69</v>
      </c>
      <c r="I6" s="80">
        <v>46176</v>
      </c>
    </row>
    <row r="7" spans="1:9" x14ac:dyDescent="0.25">
      <c r="A7" s="22">
        <v>6</v>
      </c>
      <c r="B7" s="23">
        <v>3</v>
      </c>
      <c r="C7" s="77">
        <v>46181</v>
      </c>
      <c r="D7" s="78" t="s">
        <v>92</v>
      </c>
      <c r="E7" s="24" t="s">
        <v>287</v>
      </c>
      <c r="F7" s="24" t="s">
        <v>288</v>
      </c>
      <c r="G7" s="78" t="s">
        <v>87</v>
      </c>
      <c r="H7" s="78" t="s">
        <v>91</v>
      </c>
      <c r="I7" s="81">
        <v>46182</v>
      </c>
    </row>
    <row r="8" spans="1:9" x14ac:dyDescent="0.25">
      <c r="A8" s="18">
        <v>7</v>
      </c>
      <c r="B8" s="19">
        <v>4</v>
      </c>
      <c r="C8" s="29">
        <v>46189</v>
      </c>
      <c r="D8" s="20" t="s">
        <v>86</v>
      </c>
      <c r="E8" s="21" t="s">
        <v>289</v>
      </c>
      <c r="F8" s="21" t="s">
        <v>290</v>
      </c>
      <c r="G8" s="14" t="s">
        <v>87</v>
      </c>
      <c r="H8" s="14" t="s">
        <v>85</v>
      </c>
      <c r="I8" s="80">
        <v>46189</v>
      </c>
    </row>
    <row r="9" spans="1:9" x14ac:dyDescent="0.25">
      <c r="A9" s="22">
        <v>8</v>
      </c>
      <c r="B9" s="23">
        <v>4</v>
      </c>
      <c r="C9" s="77">
        <v>46195</v>
      </c>
      <c r="D9" s="78" t="s">
        <v>93</v>
      </c>
      <c r="E9" s="24" t="s">
        <v>291</v>
      </c>
      <c r="F9" s="24" t="s">
        <v>292</v>
      </c>
      <c r="G9" s="78" t="s">
        <v>87</v>
      </c>
      <c r="H9" s="78" t="s">
        <v>91</v>
      </c>
      <c r="I9" s="81">
        <v>46196</v>
      </c>
    </row>
    <row r="10" spans="1:9" x14ac:dyDescent="0.25">
      <c r="A10" s="18">
        <v>9</v>
      </c>
      <c r="B10" s="19"/>
      <c r="C10" s="29"/>
      <c r="D10" s="20"/>
      <c r="E10" s="21"/>
      <c r="F10" s="21"/>
      <c r="G10" s="14"/>
      <c r="H10" s="14"/>
      <c r="I10" s="80"/>
    </row>
    <row r="11" spans="1:9" x14ac:dyDescent="0.25">
      <c r="A11" s="22">
        <v>10</v>
      </c>
      <c r="B11" s="23"/>
      <c r="C11" s="77"/>
      <c r="D11" s="78"/>
      <c r="E11" s="24"/>
      <c r="F11" s="24"/>
      <c r="G11" s="78"/>
      <c r="H11" s="78"/>
      <c r="I11" s="81"/>
    </row>
    <row r="12" spans="1:9" x14ac:dyDescent="0.25">
      <c r="A12" s="18">
        <v>11</v>
      </c>
      <c r="B12" s="19"/>
      <c r="C12" s="19"/>
      <c r="D12" s="20"/>
      <c r="E12" s="21"/>
      <c r="F12" s="21"/>
      <c r="G12" s="14"/>
      <c r="H12" s="14"/>
      <c r="I12" s="15"/>
    </row>
    <row r="13" spans="1:9" x14ac:dyDescent="0.25">
      <c r="A13" s="22">
        <v>12</v>
      </c>
      <c r="B13" s="23"/>
      <c r="C13" s="23"/>
      <c r="D13" s="78"/>
      <c r="E13" s="24"/>
      <c r="F13" s="24"/>
      <c r="G13" s="78"/>
      <c r="H13" s="78"/>
      <c r="I13" s="82"/>
    </row>
    <row r="14" spans="1:9" x14ac:dyDescent="0.25">
      <c r="A14" s="18">
        <v>13</v>
      </c>
      <c r="B14" s="19"/>
      <c r="C14" s="19"/>
      <c r="D14" s="20"/>
      <c r="E14" s="21"/>
      <c r="F14" s="21"/>
      <c r="G14" s="14"/>
      <c r="H14" s="14"/>
      <c r="I14" s="15"/>
    </row>
    <row r="15" spans="1:9" x14ac:dyDescent="0.25">
      <c r="A15" s="22">
        <v>14</v>
      </c>
      <c r="B15" s="23"/>
      <c r="C15" s="23"/>
      <c r="D15" s="78"/>
      <c r="E15" s="24"/>
      <c r="F15" s="24"/>
      <c r="G15" s="78"/>
      <c r="H15" s="78"/>
      <c r="I15" s="82"/>
    </row>
    <row r="16" spans="1:9" x14ac:dyDescent="0.25">
      <c r="A16" s="18">
        <v>15</v>
      </c>
      <c r="B16" s="19"/>
      <c r="C16" s="19"/>
      <c r="D16" s="20"/>
      <c r="E16" s="21"/>
      <c r="F16" s="21"/>
      <c r="G16" s="14"/>
      <c r="H16" s="14"/>
      <c r="I16" s="15"/>
    </row>
    <row r="17" spans="1:9" x14ac:dyDescent="0.25">
      <c r="A17" s="22">
        <v>16</v>
      </c>
      <c r="B17" s="23"/>
      <c r="C17" s="23"/>
      <c r="D17" s="78"/>
      <c r="E17" s="24"/>
      <c r="F17" s="24"/>
      <c r="G17" s="78"/>
      <c r="H17" s="78"/>
      <c r="I17" s="82"/>
    </row>
    <row r="18" spans="1:9" x14ac:dyDescent="0.25">
      <c r="A18" s="18">
        <v>17</v>
      </c>
      <c r="B18" s="19"/>
      <c r="C18" s="19"/>
      <c r="D18" s="20"/>
      <c r="E18" s="21"/>
      <c r="F18" s="21"/>
      <c r="G18" s="14"/>
      <c r="H18" s="14"/>
      <c r="I18" s="15"/>
    </row>
    <row r="19" spans="1:9" x14ac:dyDescent="0.25">
      <c r="A19" s="22">
        <v>18</v>
      </c>
      <c r="B19" s="23"/>
      <c r="C19" s="23"/>
      <c r="D19" s="78"/>
      <c r="E19" s="24"/>
      <c r="F19" s="24"/>
      <c r="G19" s="78"/>
      <c r="H19" s="78"/>
      <c r="I19" s="82"/>
    </row>
    <row r="20" spans="1:9" x14ac:dyDescent="0.25">
      <c r="A20" s="18">
        <v>19</v>
      </c>
      <c r="B20" s="19"/>
      <c r="C20" s="19"/>
      <c r="D20" s="20"/>
      <c r="E20" s="21"/>
      <c r="F20" s="21"/>
      <c r="G20" s="14"/>
      <c r="H20" s="14"/>
      <c r="I20" s="15"/>
    </row>
    <row r="21" spans="1:9" x14ac:dyDescent="0.25">
      <c r="A21" s="22">
        <v>20</v>
      </c>
      <c r="B21" s="23"/>
      <c r="C21" s="23"/>
      <c r="D21" s="78"/>
      <c r="E21" s="24"/>
      <c r="F21" s="24"/>
      <c r="G21" s="78"/>
      <c r="H21" s="78"/>
      <c r="I21" s="82"/>
    </row>
    <row r="22" spans="1:9" x14ac:dyDescent="0.25">
      <c r="A22" s="18">
        <v>21</v>
      </c>
      <c r="B22" s="19"/>
      <c r="C22" s="19"/>
      <c r="D22" s="20"/>
      <c r="E22" s="21"/>
      <c r="F22" s="21"/>
      <c r="G22" s="14"/>
      <c r="H22" s="14"/>
      <c r="I22" s="15"/>
    </row>
    <row r="23" spans="1:9" x14ac:dyDescent="0.25">
      <c r="A23" s="22">
        <v>22</v>
      </c>
      <c r="B23" s="23"/>
      <c r="C23" s="23"/>
      <c r="D23" s="78"/>
      <c r="E23" s="24"/>
      <c r="F23" s="24"/>
      <c r="G23" s="78"/>
      <c r="H23" s="78"/>
      <c r="I23" s="82"/>
    </row>
    <row r="24" spans="1:9" x14ac:dyDescent="0.25">
      <c r="A24" s="18">
        <v>23</v>
      </c>
      <c r="B24" s="19"/>
      <c r="C24" s="19"/>
      <c r="D24" s="20"/>
      <c r="E24" s="21"/>
      <c r="F24" s="21"/>
      <c r="G24" s="14"/>
      <c r="H24" s="14"/>
      <c r="I24" s="15"/>
    </row>
    <row r="25" spans="1:9" x14ac:dyDescent="0.25">
      <c r="A25" s="22">
        <v>24</v>
      </c>
      <c r="B25" s="23"/>
      <c r="C25" s="23"/>
      <c r="D25" s="78"/>
      <c r="E25" s="24"/>
      <c r="F25" s="24"/>
      <c r="G25" s="78"/>
      <c r="H25" s="78"/>
      <c r="I25" s="82"/>
    </row>
    <row r="26" spans="1:9" x14ac:dyDescent="0.25">
      <c r="A26" s="18">
        <v>25</v>
      </c>
      <c r="B26" s="19"/>
      <c r="C26" s="19"/>
      <c r="D26" s="20"/>
      <c r="E26" s="21"/>
      <c r="F26" s="21"/>
      <c r="G26" s="14"/>
      <c r="H26" s="14"/>
      <c r="I26" s="15"/>
    </row>
    <row r="27" spans="1:9" x14ac:dyDescent="0.25">
      <c r="A27" s="22">
        <v>26</v>
      </c>
      <c r="B27" s="23"/>
      <c r="C27" s="23"/>
      <c r="D27" s="78"/>
      <c r="E27" s="24"/>
      <c r="F27" s="24"/>
      <c r="G27" s="78"/>
      <c r="H27" s="78"/>
      <c r="I27" s="82"/>
    </row>
    <row r="28" spans="1:9" x14ac:dyDescent="0.25">
      <c r="A28" s="18">
        <v>27</v>
      </c>
      <c r="B28" s="19"/>
      <c r="C28" s="19"/>
      <c r="D28" s="20"/>
      <c r="E28" s="21"/>
      <c r="F28" s="21"/>
      <c r="G28" s="14"/>
      <c r="H28" s="14"/>
      <c r="I28" s="15"/>
    </row>
    <row r="29" spans="1:9" x14ac:dyDescent="0.25">
      <c r="A29" s="22">
        <v>28</v>
      </c>
      <c r="B29" s="23"/>
      <c r="C29" s="23"/>
      <c r="D29" s="78"/>
      <c r="E29" s="24"/>
      <c r="F29" s="24"/>
      <c r="G29" s="78"/>
      <c r="H29" s="78"/>
      <c r="I29" s="82"/>
    </row>
    <row r="30" spans="1:9" x14ac:dyDescent="0.25">
      <c r="A30" s="18">
        <v>29</v>
      </c>
      <c r="B30" s="19"/>
      <c r="C30" s="19"/>
      <c r="D30" s="20"/>
      <c r="E30" s="21"/>
      <c r="F30" s="21"/>
      <c r="G30" s="14"/>
      <c r="H30" s="14"/>
      <c r="I30" s="15"/>
    </row>
    <row r="31" spans="1:9" x14ac:dyDescent="0.25">
      <c r="A31" s="22">
        <v>30</v>
      </c>
      <c r="B31" s="23"/>
      <c r="C31" s="23"/>
      <c r="D31" s="78"/>
      <c r="E31" s="24"/>
      <c r="F31" s="24"/>
      <c r="G31" s="78"/>
      <c r="H31" s="78"/>
      <c r="I31" s="82"/>
    </row>
    <row r="32" spans="1:9" x14ac:dyDescent="0.25">
      <c r="A32" s="18">
        <v>31</v>
      </c>
      <c r="B32" s="19"/>
      <c r="C32" s="19"/>
      <c r="D32" s="20"/>
      <c r="E32" s="21"/>
      <c r="F32" s="21"/>
      <c r="G32" s="14"/>
      <c r="H32" s="14"/>
      <c r="I32" s="15"/>
    </row>
    <row r="33" spans="1:9" x14ac:dyDescent="0.25">
      <c r="A33" s="22">
        <v>32</v>
      </c>
      <c r="B33" s="23"/>
      <c r="C33" s="23"/>
      <c r="D33" s="78"/>
      <c r="E33" s="24"/>
      <c r="F33" s="24"/>
      <c r="G33" s="78"/>
      <c r="H33" s="78"/>
      <c r="I33" s="82"/>
    </row>
    <row r="34" spans="1:9" x14ac:dyDescent="0.25">
      <c r="A34" s="18">
        <v>33</v>
      </c>
      <c r="B34" s="19"/>
      <c r="C34" s="19"/>
      <c r="D34" s="20"/>
      <c r="E34" s="21"/>
      <c r="F34" s="21"/>
      <c r="G34" s="14"/>
      <c r="H34" s="14"/>
      <c r="I34" s="15"/>
    </row>
    <row r="35" spans="1:9" x14ac:dyDescent="0.25">
      <c r="A35" s="22">
        <v>34</v>
      </c>
      <c r="B35" s="23"/>
      <c r="C35" s="23"/>
      <c r="D35" s="78"/>
      <c r="E35" s="24"/>
      <c r="F35" s="24"/>
      <c r="G35" s="78"/>
      <c r="H35" s="78"/>
      <c r="I35" s="82"/>
    </row>
    <row r="36" spans="1:9" x14ac:dyDescent="0.25">
      <c r="A36" s="18">
        <v>35</v>
      </c>
      <c r="B36" s="19"/>
      <c r="C36" s="19"/>
      <c r="D36" s="20"/>
      <c r="E36" s="21"/>
      <c r="F36" s="21"/>
      <c r="G36" s="14"/>
      <c r="H36" s="14"/>
      <c r="I36" s="15"/>
    </row>
    <row r="37" spans="1:9" x14ac:dyDescent="0.25">
      <c r="A37" s="22">
        <v>36</v>
      </c>
      <c r="B37" s="23"/>
      <c r="C37" s="23"/>
      <c r="D37" s="78"/>
      <c r="E37" s="24"/>
      <c r="F37" s="24"/>
      <c r="G37" s="78"/>
      <c r="H37" s="78"/>
      <c r="I37" s="82"/>
    </row>
    <row r="38" spans="1:9" x14ac:dyDescent="0.25">
      <c r="A38" s="18">
        <v>37</v>
      </c>
      <c r="B38" s="19"/>
      <c r="C38" s="19"/>
      <c r="D38" s="20"/>
      <c r="E38" s="21"/>
      <c r="F38" s="21"/>
      <c r="G38" s="14"/>
      <c r="H38" s="14"/>
      <c r="I38" s="15"/>
    </row>
    <row r="39" spans="1:9" x14ac:dyDescent="0.25">
      <c r="A39" s="22">
        <v>38</v>
      </c>
      <c r="B39" s="23"/>
      <c r="C39" s="23"/>
      <c r="D39" s="78"/>
      <c r="E39" s="24"/>
      <c r="F39" s="24"/>
      <c r="G39" s="78"/>
      <c r="H39" s="78"/>
      <c r="I39" s="82"/>
    </row>
    <row r="40" spans="1:9" x14ac:dyDescent="0.25">
      <c r="A40" s="18">
        <v>39</v>
      </c>
      <c r="B40" s="19"/>
      <c r="C40" s="19"/>
      <c r="D40" s="20"/>
      <c r="E40" s="21"/>
      <c r="F40" s="21"/>
      <c r="G40" s="14"/>
      <c r="H40" s="14"/>
      <c r="I40" s="15"/>
    </row>
    <row r="41" spans="1:9" x14ac:dyDescent="0.25">
      <c r="A41" s="22">
        <v>40</v>
      </c>
      <c r="B41" s="23"/>
      <c r="C41" s="23"/>
      <c r="D41" s="78"/>
      <c r="E41" s="24"/>
      <c r="F41" s="24"/>
      <c r="G41" s="78"/>
      <c r="H41" s="78"/>
      <c r="I41" s="82"/>
    </row>
    <row r="42" spans="1:9" x14ac:dyDescent="0.25">
      <c r="A42" s="18">
        <v>41</v>
      </c>
      <c r="B42" s="19"/>
      <c r="C42" s="19"/>
      <c r="D42" s="20"/>
      <c r="E42" s="21"/>
      <c r="F42" s="21"/>
      <c r="G42" s="14"/>
      <c r="H42" s="14"/>
      <c r="I42" s="15"/>
    </row>
    <row r="43" spans="1:9" x14ac:dyDescent="0.25">
      <c r="A43" s="22">
        <v>42</v>
      </c>
      <c r="B43" s="23"/>
      <c r="C43" s="23"/>
      <c r="D43" s="78"/>
      <c r="E43" s="24"/>
      <c r="F43" s="24"/>
      <c r="G43" s="78"/>
      <c r="H43" s="78"/>
      <c r="I43" s="82"/>
    </row>
    <row r="44" spans="1:9" x14ac:dyDescent="0.25">
      <c r="A44" s="18">
        <v>43</v>
      </c>
      <c r="B44" s="19"/>
      <c r="C44" s="19"/>
      <c r="D44" s="20"/>
      <c r="E44" s="21"/>
      <c r="F44" s="21"/>
      <c r="G44" s="14"/>
      <c r="H44" s="14"/>
      <c r="I44" s="15"/>
    </row>
    <row r="45" spans="1:9" x14ac:dyDescent="0.25">
      <c r="A45" s="22">
        <v>44</v>
      </c>
      <c r="B45" s="23"/>
      <c r="C45" s="23"/>
      <c r="D45" s="78"/>
      <c r="E45" s="24"/>
      <c r="F45" s="24"/>
      <c r="G45" s="78"/>
      <c r="H45" s="78"/>
      <c r="I45" s="82"/>
    </row>
    <row r="46" spans="1:9" x14ac:dyDescent="0.25">
      <c r="A46" s="18">
        <v>45</v>
      </c>
      <c r="B46" s="19"/>
      <c r="C46" s="19"/>
      <c r="D46" s="20"/>
      <c r="E46" s="21"/>
      <c r="F46" s="21"/>
      <c r="G46" s="14"/>
      <c r="H46" s="14"/>
      <c r="I46" s="15"/>
    </row>
    <row r="47" spans="1:9" x14ac:dyDescent="0.25">
      <c r="A47" s="22">
        <v>46</v>
      </c>
      <c r="B47" s="23"/>
      <c r="C47" s="23"/>
      <c r="D47" s="78"/>
      <c r="E47" s="24"/>
      <c r="F47" s="24"/>
      <c r="G47" s="78"/>
      <c r="H47" s="78"/>
      <c r="I47" s="82"/>
    </row>
    <row r="48" spans="1:9" x14ac:dyDescent="0.25">
      <c r="A48" s="18">
        <v>47</v>
      </c>
      <c r="B48" s="19"/>
      <c r="C48" s="19"/>
      <c r="D48" s="20"/>
      <c r="E48" s="21"/>
      <c r="F48" s="21"/>
      <c r="G48" s="14"/>
      <c r="H48" s="14"/>
      <c r="I48" s="15"/>
    </row>
    <row r="49" spans="1:9" x14ac:dyDescent="0.25">
      <c r="A49" s="22">
        <v>48</v>
      </c>
      <c r="B49" s="23"/>
      <c r="C49" s="23"/>
      <c r="D49" s="78"/>
      <c r="E49" s="24"/>
      <c r="F49" s="24"/>
      <c r="G49" s="78"/>
      <c r="H49" s="78"/>
      <c r="I49" s="82"/>
    </row>
    <row r="50" spans="1:9" x14ac:dyDescent="0.25">
      <c r="A50" s="18">
        <v>49</v>
      </c>
      <c r="B50" s="19"/>
      <c r="C50" s="19"/>
      <c r="D50" s="20"/>
      <c r="E50" s="21"/>
      <c r="F50" s="21"/>
      <c r="G50" s="14"/>
      <c r="H50" s="14"/>
      <c r="I50" s="15"/>
    </row>
    <row r="51" spans="1:9" x14ac:dyDescent="0.25">
      <c r="A51" s="22">
        <v>50</v>
      </c>
      <c r="B51" s="23"/>
      <c r="C51" s="23"/>
      <c r="D51" s="78"/>
      <c r="E51" s="24"/>
      <c r="F51" s="24"/>
      <c r="G51" s="78"/>
      <c r="H51" s="78"/>
      <c r="I51" s="82"/>
    </row>
    <row r="52" spans="1:9" x14ac:dyDescent="0.25">
      <c r="A52" s="18">
        <v>51</v>
      </c>
      <c r="B52" s="19"/>
      <c r="C52" s="19"/>
      <c r="D52" s="20"/>
      <c r="E52" s="21"/>
      <c r="F52" s="21"/>
      <c r="G52" s="14"/>
      <c r="H52" s="14"/>
      <c r="I52" s="15"/>
    </row>
    <row r="53" spans="1:9" x14ac:dyDescent="0.25">
      <c r="A53" s="22">
        <v>52</v>
      </c>
      <c r="B53" s="23"/>
      <c r="C53" s="23"/>
      <c r="D53" s="78"/>
      <c r="E53" s="24"/>
      <c r="F53" s="24"/>
      <c r="G53" s="78"/>
      <c r="H53" s="78"/>
      <c r="I53" s="82"/>
    </row>
    <row r="54" spans="1:9" x14ac:dyDescent="0.25">
      <c r="A54" s="18">
        <v>53</v>
      </c>
      <c r="B54" s="19"/>
      <c r="C54" s="19"/>
      <c r="D54" s="20"/>
      <c r="E54" s="21"/>
      <c r="F54" s="21"/>
      <c r="G54" s="14"/>
      <c r="H54" s="14"/>
      <c r="I54" s="15"/>
    </row>
    <row r="55" spans="1:9" x14ac:dyDescent="0.25">
      <c r="A55" s="22">
        <v>54</v>
      </c>
      <c r="B55" s="23"/>
      <c r="C55" s="23"/>
      <c r="D55" s="78"/>
      <c r="E55" s="24"/>
      <c r="F55" s="24"/>
      <c r="G55" s="78"/>
      <c r="H55" s="78"/>
      <c r="I55" s="82"/>
    </row>
    <row r="56" spans="1:9" x14ac:dyDescent="0.25">
      <c r="A56" s="18">
        <v>55</v>
      </c>
      <c r="B56" s="19"/>
      <c r="C56" s="19"/>
      <c r="D56" s="20"/>
      <c r="E56" s="21"/>
      <c r="F56" s="21"/>
      <c r="G56" s="14"/>
      <c r="H56" s="14"/>
      <c r="I56" s="15"/>
    </row>
    <row r="57" spans="1:9" x14ac:dyDescent="0.25">
      <c r="A57" s="22">
        <v>56</v>
      </c>
      <c r="B57" s="23"/>
      <c r="C57" s="23"/>
      <c r="D57" s="78"/>
      <c r="E57" s="24"/>
      <c r="F57" s="24"/>
      <c r="G57" s="78"/>
      <c r="H57" s="78"/>
      <c r="I57" s="82"/>
    </row>
    <row r="58" spans="1:9" x14ac:dyDescent="0.25">
      <c r="A58" s="18">
        <v>57</v>
      </c>
      <c r="B58" s="19"/>
      <c r="C58" s="19"/>
      <c r="D58" s="20"/>
      <c r="E58" s="21"/>
      <c r="F58" s="21"/>
      <c r="G58" s="14"/>
      <c r="H58" s="14"/>
      <c r="I58" s="15"/>
    </row>
    <row r="59" spans="1:9" x14ac:dyDescent="0.25">
      <c r="A59" s="22">
        <v>58</v>
      </c>
      <c r="B59" s="23"/>
      <c r="C59" s="23"/>
      <c r="D59" s="78"/>
      <c r="E59" s="24"/>
      <c r="F59" s="24"/>
      <c r="G59" s="78"/>
      <c r="H59" s="78"/>
      <c r="I59" s="82"/>
    </row>
    <row r="60" spans="1:9" x14ac:dyDescent="0.25">
      <c r="A60" s="18">
        <v>59</v>
      </c>
      <c r="B60" s="19"/>
      <c r="C60" s="19"/>
      <c r="D60" s="20"/>
      <c r="E60" s="21"/>
      <c r="F60" s="21"/>
      <c r="G60" s="14"/>
      <c r="H60" s="14"/>
      <c r="I60" s="15"/>
    </row>
    <row r="61" spans="1:9" x14ac:dyDescent="0.25">
      <c r="A61" s="22">
        <v>60</v>
      </c>
      <c r="B61" s="23"/>
      <c r="C61" s="23"/>
      <c r="D61" s="78"/>
      <c r="E61" s="24"/>
      <c r="F61" s="24"/>
      <c r="G61" s="78"/>
      <c r="H61" s="78"/>
      <c r="I61" s="82"/>
    </row>
    <row r="62" spans="1:9" x14ac:dyDescent="0.25">
      <c r="A62" s="18">
        <v>61</v>
      </c>
      <c r="B62" s="19"/>
      <c r="C62" s="19"/>
      <c r="D62" s="20"/>
      <c r="E62" s="21"/>
      <c r="F62" s="21"/>
      <c r="G62" s="14"/>
      <c r="H62" s="14"/>
      <c r="I62" s="15"/>
    </row>
    <row r="63" spans="1:9" x14ac:dyDescent="0.25">
      <c r="A63" s="22">
        <v>62</v>
      </c>
      <c r="B63" s="23"/>
      <c r="C63" s="23"/>
      <c r="D63" s="78"/>
      <c r="E63" s="24"/>
      <c r="F63" s="24"/>
      <c r="G63" s="78"/>
      <c r="H63" s="78"/>
      <c r="I63" s="82"/>
    </row>
    <row r="64" spans="1:9" x14ac:dyDescent="0.25">
      <c r="A64" s="18">
        <v>63</v>
      </c>
      <c r="B64" s="19"/>
      <c r="C64" s="19"/>
      <c r="D64" s="20"/>
      <c r="E64" s="21"/>
      <c r="F64" s="21"/>
      <c r="G64" s="14"/>
      <c r="H64" s="14"/>
      <c r="I64" s="15"/>
    </row>
    <row r="65" spans="1:9" x14ac:dyDescent="0.25">
      <c r="A65" s="22">
        <v>64</v>
      </c>
      <c r="B65" s="23"/>
      <c r="C65" s="23"/>
      <c r="D65" s="78"/>
      <c r="E65" s="24"/>
      <c r="F65" s="24"/>
      <c r="G65" s="78"/>
      <c r="H65" s="78"/>
      <c r="I65" s="82"/>
    </row>
    <row r="66" spans="1:9" x14ac:dyDescent="0.25">
      <c r="A66" s="18">
        <v>65</v>
      </c>
      <c r="B66" s="19"/>
      <c r="C66" s="19"/>
      <c r="D66" s="20"/>
      <c r="E66" s="21"/>
      <c r="F66" s="21"/>
      <c r="G66" s="14"/>
      <c r="H66" s="14"/>
      <c r="I66" s="15"/>
    </row>
    <row r="67" spans="1:9" x14ac:dyDescent="0.25">
      <c r="A67" s="22">
        <v>66</v>
      </c>
      <c r="B67" s="23"/>
      <c r="C67" s="23"/>
      <c r="D67" s="78"/>
      <c r="E67" s="24"/>
      <c r="F67" s="24"/>
      <c r="G67" s="78"/>
      <c r="H67" s="78"/>
      <c r="I67" s="82"/>
    </row>
    <row r="68" spans="1:9" x14ac:dyDescent="0.25">
      <c r="A68" s="18">
        <v>67</v>
      </c>
      <c r="B68" s="19"/>
      <c r="C68" s="19"/>
      <c r="D68" s="20"/>
      <c r="E68" s="21"/>
      <c r="F68" s="21"/>
      <c r="G68" s="14"/>
      <c r="H68" s="14"/>
      <c r="I68" s="15"/>
    </row>
    <row r="69" spans="1:9" x14ac:dyDescent="0.25">
      <c r="A69" s="22">
        <v>68</v>
      </c>
      <c r="B69" s="23"/>
      <c r="C69" s="23"/>
      <c r="D69" s="78"/>
      <c r="E69" s="24"/>
      <c r="F69" s="24"/>
      <c r="G69" s="78"/>
      <c r="H69" s="78"/>
      <c r="I69" s="82"/>
    </row>
    <row r="70" spans="1:9" x14ac:dyDescent="0.25">
      <c r="A70" s="18">
        <v>69</v>
      </c>
      <c r="B70" s="19"/>
      <c r="C70" s="19"/>
      <c r="D70" s="20"/>
      <c r="E70" s="21"/>
      <c r="F70" s="21"/>
      <c r="G70" s="14"/>
      <c r="H70" s="14"/>
      <c r="I70" s="15"/>
    </row>
    <row r="71" spans="1:9" x14ac:dyDescent="0.25">
      <c r="A71" s="22">
        <v>70</v>
      </c>
      <c r="B71" s="23"/>
      <c r="C71" s="23"/>
      <c r="D71" s="78"/>
      <c r="E71" s="24"/>
      <c r="F71" s="24"/>
      <c r="G71" s="78"/>
      <c r="H71" s="78"/>
      <c r="I71" s="82"/>
    </row>
    <row r="72" spans="1:9" x14ac:dyDescent="0.25">
      <c r="A72" s="18">
        <v>71</v>
      </c>
      <c r="B72" s="19"/>
      <c r="C72" s="19"/>
      <c r="D72" s="20"/>
      <c r="E72" s="21"/>
      <c r="F72" s="21"/>
      <c r="G72" s="14"/>
      <c r="H72" s="14"/>
      <c r="I72" s="15"/>
    </row>
    <row r="73" spans="1:9" x14ac:dyDescent="0.25">
      <c r="A73" s="22">
        <v>72</v>
      </c>
      <c r="B73" s="23"/>
      <c r="C73" s="23"/>
      <c r="D73" s="78"/>
      <c r="E73" s="24"/>
      <c r="F73" s="24"/>
      <c r="G73" s="78"/>
      <c r="H73" s="78"/>
      <c r="I73" s="82"/>
    </row>
    <row r="74" spans="1:9" x14ac:dyDescent="0.25">
      <c r="A74" s="18">
        <v>73</v>
      </c>
      <c r="B74" s="19"/>
      <c r="C74" s="19"/>
      <c r="D74" s="20"/>
      <c r="E74" s="21"/>
      <c r="F74" s="21"/>
      <c r="G74" s="14"/>
      <c r="H74" s="14"/>
      <c r="I74" s="15"/>
    </row>
    <row r="75" spans="1:9" x14ac:dyDescent="0.25">
      <c r="A75" s="22">
        <v>74</v>
      </c>
      <c r="B75" s="23"/>
      <c r="C75" s="23"/>
      <c r="D75" s="78"/>
      <c r="E75" s="24"/>
      <c r="F75" s="24"/>
      <c r="G75" s="78"/>
      <c r="H75" s="78"/>
      <c r="I75" s="82"/>
    </row>
    <row r="76" spans="1:9" x14ac:dyDescent="0.25">
      <c r="A76" s="18">
        <v>75</v>
      </c>
      <c r="B76" s="19"/>
      <c r="C76" s="19"/>
      <c r="D76" s="20"/>
      <c r="E76" s="21"/>
      <c r="F76" s="21"/>
      <c r="G76" s="14"/>
      <c r="H76" s="14"/>
      <c r="I76" s="15"/>
    </row>
    <row r="77" spans="1:9" x14ac:dyDescent="0.25">
      <c r="A77" s="22">
        <v>76</v>
      </c>
      <c r="B77" s="23"/>
      <c r="C77" s="23"/>
      <c r="D77" s="78"/>
      <c r="E77" s="24"/>
      <c r="F77" s="24"/>
      <c r="G77" s="78"/>
      <c r="H77" s="78"/>
      <c r="I77" s="82"/>
    </row>
    <row r="78" spans="1:9" x14ac:dyDescent="0.25">
      <c r="A78" s="18">
        <v>77</v>
      </c>
      <c r="B78" s="19"/>
      <c r="C78" s="19"/>
      <c r="D78" s="20"/>
      <c r="E78" s="21"/>
      <c r="F78" s="21"/>
      <c r="G78" s="14"/>
      <c r="H78" s="14"/>
      <c r="I78" s="15"/>
    </row>
    <row r="79" spans="1:9" x14ac:dyDescent="0.25">
      <c r="A79" s="22">
        <v>78</v>
      </c>
      <c r="B79" s="23"/>
      <c r="C79" s="23"/>
      <c r="D79" s="78"/>
      <c r="E79" s="24"/>
      <c r="F79" s="24"/>
      <c r="G79" s="78"/>
      <c r="H79" s="78"/>
      <c r="I79" s="82"/>
    </row>
    <row r="80" spans="1:9" x14ac:dyDescent="0.25">
      <c r="A80" s="18">
        <v>79</v>
      </c>
      <c r="B80" s="19"/>
      <c r="C80" s="19"/>
      <c r="D80" s="20"/>
      <c r="E80" s="21"/>
      <c r="F80" s="21"/>
      <c r="G80" s="14"/>
      <c r="H80" s="14"/>
      <c r="I80" s="15"/>
    </row>
    <row r="81" spans="1:9" x14ac:dyDescent="0.25">
      <c r="A81" s="22">
        <v>80</v>
      </c>
      <c r="B81" s="23"/>
      <c r="C81" s="23"/>
      <c r="D81" s="78"/>
      <c r="E81" s="24"/>
      <c r="F81" s="24"/>
      <c r="G81" s="78"/>
      <c r="H81" s="78"/>
      <c r="I81" s="82"/>
    </row>
    <row r="82" spans="1:9" x14ac:dyDescent="0.25">
      <c r="A82" s="18">
        <v>81</v>
      </c>
      <c r="B82" s="19"/>
      <c r="C82" s="19"/>
      <c r="D82" s="20"/>
      <c r="E82" s="21"/>
      <c r="F82" s="21"/>
      <c r="G82" s="14"/>
      <c r="H82" s="14"/>
      <c r="I82" s="15"/>
    </row>
    <row r="83" spans="1:9" x14ac:dyDescent="0.25">
      <c r="A83" s="22">
        <v>82</v>
      </c>
      <c r="B83" s="23"/>
      <c r="C83" s="23"/>
      <c r="D83" s="78"/>
      <c r="E83" s="24"/>
      <c r="F83" s="24"/>
      <c r="G83" s="78"/>
      <c r="H83" s="78"/>
      <c r="I83" s="82"/>
    </row>
    <row r="84" spans="1:9" x14ac:dyDescent="0.25">
      <c r="A84" s="18">
        <v>83</v>
      </c>
      <c r="B84" s="19"/>
      <c r="C84" s="19"/>
      <c r="D84" s="20"/>
      <c r="E84" s="21"/>
      <c r="F84" s="21"/>
      <c r="G84" s="14"/>
      <c r="H84" s="14"/>
      <c r="I84" s="15"/>
    </row>
    <row r="85" spans="1:9" x14ac:dyDescent="0.25">
      <c r="A85" s="22">
        <v>84</v>
      </c>
      <c r="B85" s="23"/>
      <c r="C85" s="23"/>
      <c r="D85" s="78"/>
      <c r="E85" s="24"/>
      <c r="F85" s="24"/>
      <c r="G85" s="78"/>
      <c r="H85" s="78"/>
      <c r="I85" s="82"/>
    </row>
    <row r="86" spans="1:9" x14ac:dyDescent="0.25">
      <c r="A86" s="18">
        <v>85</v>
      </c>
      <c r="B86" s="19"/>
      <c r="C86" s="19"/>
      <c r="D86" s="20"/>
      <c r="E86" s="21"/>
      <c r="F86" s="21"/>
      <c r="G86" s="14"/>
      <c r="H86" s="14"/>
      <c r="I86" s="15"/>
    </row>
    <row r="87" spans="1:9" x14ac:dyDescent="0.25">
      <c r="A87" s="22">
        <v>86</v>
      </c>
      <c r="B87" s="23"/>
      <c r="C87" s="23"/>
      <c r="D87" s="78"/>
      <c r="E87" s="24"/>
      <c r="F87" s="24"/>
      <c r="G87" s="78"/>
      <c r="H87" s="78"/>
      <c r="I87" s="82"/>
    </row>
    <row r="88" spans="1:9" x14ac:dyDescent="0.25">
      <c r="A88" s="18">
        <v>87</v>
      </c>
      <c r="B88" s="19"/>
      <c r="C88" s="19"/>
      <c r="D88" s="20"/>
      <c r="E88" s="21"/>
      <c r="F88" s="21"/>
      <c r="G88" s="14"/>
      <c r="H88" s="14"/>
      <c r="I88" s="15"/>
    </row>
    <row r="89" spans="1:9" x14ac:dyDescent="0.25">
      <c r="A89" s="22">
        <v>88</v>
      </c>
      <c r="B89" s="23"/>
      <c r="C89" s="23"/>
      <c r="D89" s="78"/>
      <c r="E89" s="24"/>
      <c r="F89" s="24"/>
      <c r="G89" s="78"/>
      <c r="H89" s="78"/>
      <c r="I89" s="82"/>
    </row>
    <row r="90" spans="1:9" x14ac:dyDescent="0.25">
      <c r="A90" s="18">
        <v>89</v>
      </c>
      <c r="B90" s="19"/>
      <c r="C90" s="19"/>
      <c r="D90" s="20"/>
      <c r="E90" s="21"/>
      <c r="F90" s="21"/>
      <c r="G90" s="14"/>
      <c r="H90" s="14"/>
      <c r="I90" s="15"/>
    </row>
    <row r="91" spans="1:9" x14ac:dyDescent="0.25">
      <c r="A91" s="22">
        <v>90</v>
      </c>
      <c r="B91" s="23"/>
      <c r="C91" s="23"/>
      <c r="D91" s="78"/>
      <c r="E91" s="24"/>
      <c r="F91" s="24"/>
      <c r="G91" s="78"/>
      <c r="H91" s="78"/>
      <c r="I91" s="82"/>
    </row>
    <row r="92" spans="1:9" x14ac:dyDescent="0.25">
      <c r="A92" s="18">
        <v>91</v>
      </c>
      <c r="B92" s="19"/>
      <c r="C92" s="19"/>
      <c r="D92" s="20"/>
      <c r="E92" s="21"/>
      <c r="F92" s="21"/>
      <c r="G92" s="14"/>
      <c r="H92" s="14"/>
      <c r="I92" s="15"/>
    </row>
    <row r="93" spans="1:9" x14ac:dyDescent="0.25">
      <c r="A93" s="22">
        <v>92</v>
      </c>
      <c r="B93" s="23"/>
      <c r="C93" s="23"/>
      <c r="D93" s="78"/>
      <c r="E93" s="24"/>
      <c r="F93" s="24"/>
      <c r="G93" s="78"/>
      <c r="H93" s="78"/>
      <c r="I93" s="82"/>
    </row>
    <row r="94" spans="1:9" x14ac:dyDescent="0.25">
      <c r="A94" s="18">
        <v>93</v>
      </c>
      <c r="B94" s="19"/>
      <c r="C94" s="19"/>
      <c r="D94" s="20"/>
      <c r="E94" s="21"/>
      <c r="F94" s="21"/>
      <c r="G94" s="14"/>
      <c r="H94" s="14"/>
      <c r="I94" s="15"/>
    </row>
    <row r="95" spans="1:9" x14ac:dyDescent="0.25">
      <c r="A95" s="22">
        <v>94</v>
      </c>
      <c r="B95" s="23"/>
      <c r="C95" s="23"/>
      <c r="D95" s="78"/>
      <c r="E95" s="24"/>
      <c r="F95" s="24"/>
      <c r="G95" s="78"/>
      <c r="H95" s="78"/>
      <c r="I95" s="82"/>
    </row>
    <row r="96" spans="1:9" x14ac:dyDescent="0.25">
      <c r="A96" s="18">
        <v>95</v>
      </c>
      <c r="B96" s="19"/>
      <c r="C96" s="19"/>
      <c r="D96" s="20"/>
      <c r="E96" s="21"/>
      <c r="F96" s="21"/>
      <c r="G96" s="14"/>
      <c r="H96" s="14"/>
      <c r="I96" s="15"/>
    </row>
    <row r="97" spans="1:9" x14ac:dyDescent="0.25">
      <c r="A97" s="22">
        <v>96</v>
      </c>
      <c r="B97" s="23"/>
      <c r="C97" s="23"/>
      <c r="D97" s="78"/>
      <c r="E97" s="24"/>
      <c r="F97" s="24"/>
      <c r="G97" s="78"/>
      <c r="H97" s="78"/>
      <c r="I97" s="82"/>
    </row>
    <row r="98" spans="1:9" x14ac:dyDescent="0.25">
      <c r="A98" s="18">
        <v>97</v>
      </c>
      <c r="B98" s="19"/>
      <c r="C98" s="19"/>
      <c r="D98" s="20"/>
      <c r="E98" s="21"/>
      <c r="F98" s="21"/>
      <c r="G98" s="14"/>
      <c r="H98" s="14"/>
      <c r="I98" s="15"/>
    </row>
    <row r="99" spans="1:9" x14ac:dyDescent="0.25">
      <c r="A99" s="22">
        <v>98</v>
      </c>
      <c r="B99" s="23"/>
      <c r="C99" s="23"/>
      <c r="D99" s="78"/>
      <c r="E99" s="24"/>
      <c r="F99" s="24"/>
      <c r="G99" s="78"/>
      <c r="H99" s="78"/>
      <c r="I99" s="82"/>
    </row>
    <row r="100" spans="1:9" x14ac:dyDescent="0.25">
      <c r="A100" s="18">
        <v>99</v>
      </c>
      <c r="B100" s="19"/>
      <c r="C100" s="19"/>
      <c r="D100" s="20"/>
      <c r="E100" s="21"/>
      <c r="F100" s="21"/>
      <c r="G100" s="14"/>
      <c r="H100" s="14"/>
      <c r="I100" s="15"/>
    </row>
    <row r="101" spans="1:9" ht="15.75" thickBot="1" x14ac:dyDescent="0.3">
      <c r="A101" s="25">
        <v>100</v>
      </c>
      <c r="B101" s="26"/>
      <c r="C101" s="26"/>
      <c r="D101" s="79"/>
      <c r="E101" s="27"/>
      <c r="F101" s="27"/>
      <c r="G101" s="79"/>
      <c r="H101" s="79"/>
      <c r="I101" s="8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Caso del Negocio</vt:lpstr>
      <vt:lpstr>Visión</vt:lpstr>
      <vt:lpstr>Involucrados del proyecto</vt:lpstr>
      <vt:lpstr>PBI</vt:lpstr>
      <vt:lpstr>Release Plan</vt:lpstr>
      <vt:lpstr>Puntos</vt:lpstr>
      <vt:lpstr>Tareas</vt:lpstr>
      <vt:lpstr>Burn Down Chart</vt:lpstr>
      <vt:lpstr>Gestión de impedimentos</vt:lpstr>
    </vt:vector>
  </TitlesOfParts>
  <Manager/>
  <Company>Toshiba</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 Diego Ochoa</dc:creator>
  <cp:keywords/>
  <dc:description/>
  <cp:lastModifiedBy>esierr01</cp:lastModifiedBy>
  <cp:revision/>
  <cp:lastPrinted>2026-05-14T13:56:42Z</cp:lastPrinted>
  <dcterms:created xsi:type="dcterms:W3CDTF">2016-10-07T23:21:19Z</dcterms:created>
  <dcterms:modified xsi:type="dcterms:W3CDTF">2026-05-14T17:44:54Z</dcterms:modified>
  <cp:category/>
  <cp:contentStatus/>
</cp:coreProperties>
</file>